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ropbox\Sara\POPULATION\New 2026 WORLD POPULATION\"/>
    </mc:Choice>
  </mc:AlternateContent>
  <xr:revisionPtr revIDLastSave="0" documentId="13_ncr:1_{7515811F-655E-460E-8A93-7279CB23B2FB}" xr6:coauthVersionLast="47" xr6:coauthVersionMax="47" xr10:uidLastSave="{00000000-0000-0000-0000-000000000000}"/>
  <bookViews>
    <workbookView xWindow="8832" yWindow="2496" windowWidth="34848" windowHeight="20952" xr2:uid="{437C10DD-57D0-4444-8314-E0212EAD6842}"/>
  </bookViews>
  <sheets>
    <sheet name="AFRICA26" sheetId="3" r:id="rId1"/>
    <sheet name="SOUR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42" i="3" l="1"/>
  <c r="AV141" i="3"/>
  <c r="AV140" i="3"/>
  <c r="AV139" i="3"/>
  <c r="AV138" i="3"/>
  <c r="AV137" i="3"/>
  <c r="AV136" i="3"/>
  <c r="AV135" i="3"/>
  <c r="AV134" i="3"/>
  <c r="AV133" i="3"/>
  <c r="AV132" i="3"/>
  <c r="AV131" i="3"/>
  <c r="AV130" i="3"/>
  <c r="AV129" i="3"/>
  <c r="AV128" i="3"/>
  <c r="AV127" i="3"/>
  <c r="AV126" i="3"/>
  <c r="AV125" i="3"/>
  <c r="AV124" i="3"/>
  <c r="AV123" i="3"/>
  <c r="AV122" i="3"/>
  <c r="AV121" i="3"/>
  <c r="AV120" i="3"/>
  <c r="AV119" i="3"/>
  <c r="AV118" i="3"/>
  <c r="AV117" i="3"/>
  <c r="AV116" i="3"/>
  <c r="AV115" i="3"/>
  <c r="AV114" i="3"/>
  <c r="AV113" i="3"/>
  <c r="AV112" i="3"/>
  <c r="AV111" i="3"/>
  <c r="AV110" i="3"/>
  <c r="AV109" i="3"/>
  <c r="AV108" i="3"/>
  <c r="AV107" i="3"/>
  <c r="AV106" i="3"/>
  <c r="AV105" i="3"/>
  <c r="AV104" i="3"/>
  <c r="AV103" i="3"/>
  <c r="AV102" i="3"/>
  <c r="AV101" i="3"/>
  <c r="AV100" i="3"/>
  <c r="AV99" i="3"/>
  <c r="AV98" i="3"/>
  <c r="AV97" i="3"/>
  <c r="AV96" i="3"/>
  <c r="AV95" i="3"/>
  <c r="AV94" i="3"/>
  <c r="AV93" i="3"/>
  <c r="AV92" i="3"/>
  <c r="AV91" i="3"/>
  <c r="AV90" i="3"/>
  <c r="AV89" i="3"/>
  <c r="AV88" i="3"/>
  <c r="AV87" i="3"/>
  <c r="AV86" i="3"/>
  <c r="AV85" i="3"/>
  <c r="AV84" i="3"/>
  <c r="AV83" i="3"/>
  <c r="AV82" i="3"/>
  <c r="AV81" i="3"/>
  <c r="AV80" i="3"/>
  <c r="AV79" i="3"/>
  <c r="AV78" i="3"/>
  <c r="AV77" i="3"/>
  <c r="AV76" i="3"/>
  <c r="AV75" i="3"/>
  <c r="AV74" i="3"/>
  <c r="AV73" i="3"/>
  <c r="AV72" i="3"/>
  <c r="AV71" i="3"/>
  <c r="AV70" i="3"/>
  <c r="AV69" i="3"/>
  <c r="AV68" i="3"/>
  <c r="AV67" i="3"/>
  <c r="AV66" i="3"/>
  <c r="AV65" i="3"/>
  <c r="AV64" i="3"/>
  <c r="AV63" i="3"/>
  <c r="AV62" i="3"/>
  <c r="AV61" i="3"/>
  <c r="AV60" i="3"/>
  <c r="AV59" i="3"/>
  <c r="AV58" i="3"/>
  <c r="AV57" i="3"/>
  <c r="AV56" i="3"/>
  <c r="AV55" i="3"/>
  <c r="AV54" i="3"/>
  <c r="AV53" i="3"/>
  <c r="AV52" i="3"/>
  <c r="AV51" i="3"/>
  <c r="AV50" i="3"/>
  <c r="AV49" i="3"/>
  <c r="AV48" i="3"/>
  <c r="AV47" i="3"/>
  <c r="AV46" i="3"/>
  <c r="AV45" i="3"/>
  <c r="AV44" i="3"/>
  <c r="AV43" i="3"/>
  <c r="AV42" i="3"/>
  <c r="AV41" i="3"/>
  <c r="AV40" i="3"/>
  <c r="AV39" i="3"/>
  <c r="AV38" i="3"/>
  <c r="AV37" i="3"/>
  <c r="AV36" i="3"/>
  <c r="AV35" i="3"/>
  <c r="AV34" i="3"/>
  <c r="AV33" i="3"/>
  <c r="AV32" i="3"/>
  <c r="AV31" i="3"/>
  <c r="AV30" i="3"/>
  <c r="AV29" i="3"/>
  <c r="AV28" i="3"/>
  <c r="AV27" i="3"/>
  <c r="AV26" i="3"/>
  <c r="AV25" i="3"/>
  <c r="AV24" i="3"/>
  <c r="AV23" i="3"/>
  <c r="AV22" i="3"/>
  <c r="AV21" i="3"/>
  <c r="AV20" i="3"/>
  <c r="AV19" i="3"/>
  <c r="AV18" i="3"/>
  <c r="AV17" i="3"/>
  <c r="AV16" i="3"/>
  <c r="AV15" i="3"/>
  <c r="AV14" i="3"/>
  <c r="AV13" i="3"/>
  <c r="AV12" i="3"/>
  <c r="AV11" i="3"/>
  <c r="AV10" i="3"/>
  <c r="AV9" i="3"/>
  <c r="AV8" i="3"/>
  <c r="AV7" i="3"/>
  <c r="AV6" i="3"/>
  <c r="AV5" i="3"/>
  <c r="AV4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</calcChain>
</file>

<file path=xl/sharedStrings.xml><?xml version="1.0" encoding="utf-8"?>
<sst xmlns="http://schemas.openxmlformats.org/spreadsheetml/2006/main" count="115" uniqueCount="69">
  <si>
    <t>Population (000)</t>
  </si>
  <si>
    <t>AFRICA</t>
  </si>
  <si>
    <t>Algeria</t>
  </si>
  <si>
    <t xml:space="preserve">Angola </t>
  </si>
  <si>
    <t xml:space="preserve">Basutoland  </t>
  </si>
  <si>
    <t xml:space="preserve">Bechuanaland </t>
  </si>
  <si>
    <t xml:space="preserve">Belgium Congo </t>
  </si>
  <si>
    <t xml:space="preserve">Northern Rhodesia </t>
  </si>
  <si>
    <t>Cameroon</t>
  </si>
  <si>
    <t>Spanish Sahara</t>
  </si>
  <si>
    <t>Egypt</t>
  </si>
  <si>
    <t>Eritrea</t>
  </si>
  <si>
    <t>Ethiopia</t>
  </si>
  <si>
    <t>French Equatorial Africa-Congo-Final</t>
  </si>
  <si>
    <t>French Somalia</t>
  </si>
  <si>
    <t>French West Africa</t>
  </si>
  <si>
    <t>Gambia</t>
  </si>
  <si>
    <t>German South West Africa</t>
  </si>
  <si>
    <t>Ghana-Gold Coast</t>
  </si>
  <si>
    <t>Guinea Bissau (Portuguese Africa)</t>
  </si>
  <si>
    <t>Italian Libia Cyrenaica</t>
  </si>
  <si>
    <t>Liberia</t>
  </si>
  <si>
    <t>Madagascar</t>
  </si>
  <si>
    <t>Malawi</t>
  </si>
  <si>
    <t>Mauritius</t>
  </si>
  <si>
    <t>Mozambique (Portuguese Africa)</t>
  </si>
  <si>
    <t>Nigeria</t>
  </si>
  <si>
    <t>Rwanda and Burundi</t>
  </si>
  <si>
    <t>St. Helena</t>
  </si>
  <si>
    <t>Seychelles</t>
  </si>
  <si>
    <t>Sierra Leone</t>
  </si>
  <si>
    <t>South Africa</t>
  </si>
  <si>
    <t>Equatorial Guinea</t>
  </si>
  <si>
    <t>Sudan (Anglo-Egyptian Sudan)</t>
  </si>
  <si>
    <t>Swaziland</t>
  </si>
  <si>
    <t>Tunisia</t>
  </si>
  <si>
    <t>(Lesotho)</t>
  </si>
  <si>
    <t>(Botswana)</t>
  </si>
  <si>
    <t>(Zaire)</t>
  </si>
  <si>
    <t>(Zambia)</t>
  </si>
  <si>
    <t xml:space="preserve">TOTAL </t>
  </si>
  <si>
    <t xml:space="preserve">British East Africa </t>
  </si>
  <si>
    <t>Morocco</t>
  </si>
  <si>
    <t xml:space="preserve">Zimbabwe </t>
  </si>
  <si>
    <t>Southern Rhodesia</t>
  </si>
  <si>
    <t>Namibia</t>
  </si>
  <si>
    <t>German East Africa</t>
  </si>
  <si>
    <t xml:space="preserve">Tanganyka </t>
  </si>
  <si>
    <t xml:space="preserve">Togo </t>
  </si>
  <si>
    <t>German West Africa</t>
  </si>
  <si>
    <t>Somalia</t>
  </si>
  <si>
    <t>Comoros and Mayote (French)</t>
  </si>
  <si>
    <t xml:space="preserve">Federico, Giovanni; Tena-Junguito, Antonio (2023): How many people on earth? World population 1800-1938. Working Papers in Economic History 23-02/ Instituto Figuerola Universidad Carlos III de Madrid. URI: http://hdl.handle.net/10016/36431 </t>
  </si>
  <si>
    <t xml:space="preserve">World Country Nº </t>
  </si>
  <si>
    <t>Cape Verde (Portuguese Africa)</t>
  </si>
  <si>
    <t>Ceuta y Melilla</t>
  </si>
  <si>
    <t>Zanzibar Island</t>
  </si>
  <si>
    <t>(Kenya &amp; Uganda)</t>
  </si>
  <si>
    <t>Libya</t>
  </si>
  <si>
    <t>Réunion</t>
  </si>
  <si>
    <t>Sao Tome and Principe (Portuguese Africa)</t>
  </si>
  <si>
    <t>Italian Somaliland</t>
  </si>
  <si>
    <t>https://www.aehnetwork.org/data-research/african-population-database-1850-1960/</t>
  </si>
  <si>
    <t>Cite: Frankema, E. and Jerven, M. (2014). ‘Writing History Backwards and Sideways: Towards a Consensus on African Population, 1850-present‘ Economic History Review 67( S1): 907-931.</t>
  </si>
  <si>
    <t>The population is estimated with backward extrapolation. We use the area rates by Manning and Nickleach (2014) for the first half of the 19th century and the polity-specific ones by Frankema and Jerven (2014) from 1950 onwards (See pp.9-11 of this WP).</t>
  </si>
  <si>
    <t>AFRICAN SERIES ARE MOSTLY NEW (version of 2026)</t>
  </si>
  <si>
    <t>We mantein the 2023 version of: Algeria, Angola, Cape Verde, Ceuta y Melilla, Comoros Mayote, Ejupt, Italian Libia, Mauritius Moroco, Reunion, St. Elena,  Sao Tome, Seychelles, South Africa, Spanish Shara, Tunisia, Zancibar</t>
  </si>
  <si>
    <t>Sources in  2026  came from Version 4 of African Population Database 1850-1960</t>
  </si>
  <si>
    <t>AFRICA ( 2023 version)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</si>
</sst>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b/>
      <u/>
      <sz val="10"/>
      <color theme="1"/>
      <name val="Arial"/>
      <family val="2"/>
    </font>
    <font>
      <b/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0" fontId="3" fillId="5" borderId="2" applyNumberFormat="0" applyFont="0" applyAlignment="0" applyProtection="0"/>
  </cellStyleXfs>
  <cellXfs count="18">
    <xf numFmtId="0" fontId="0" fillId="0" borderId="0" xfId="0"/>
    <xf numFmtId="0" fontId="1" fillId="2" borderId="1" xfId="1" applyAlignment="1">
      <alignment horizontal="left"/>
    </xf>
    <xf numFmtId="1" fontId="0" fillId="3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2" applyAlignment="1">
      <alignment vertical="center" wrapText="1"/>
    </xf>
    <xf numFmtId="0" fontId="0" fillId="5" borderId="2" xfId="3" applyFont="1" applyAlignment="1">
      <alignment horizontal="left"/>
    </xf>
    <xf numFmtId="3" fontId="0" fillId="0" borderId="0" xfId="0" applyNumberFormat="1" applyAlignment="1">
      <alignment horizontal="center"/>
    </xf>
    <xf numFmtId="0" fontId="0" fillId="5" borderId="2" xfId="3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5" fillId="0" borderId="0" xfId="2" applyFont="1" applyAlignment="1">
      <alignment horizontal="justify" vertical="center"/>
    </xf>
    <xf numFmtId="0" fontId="2" fillId="0" borderId="0" xfId="2" applyAlignment="1">
      <alignment horizontal="justify" vertical="center"/>
    </xf>
    <xf numFmtId="0" fontId="2" fillId="0" borderId="0" xfId="2"/>
    <xf numFmtId="0" fontId="7" fillId="0" borderId="0" xfId="0" applyFont="1" applyAlignment="1">
      <alignment horizontal="justify" vertical="center"/>
    </xf>
    <xf numFmtId="0" fontId="6" fillId="0" borderId="0" xfId="2" applyFont="1" applyAlignment="1">
      <alignment horizontal="justify" wrapText="1"/>
    </xf>
    <xf numFmtId="0" fontId="8" fillId="0" borderId="0" xfId="2" applyFont="1" applyAlignment="1">
      <alignment horizontal="justify" vertical="center"/>
    </xf>
  </cellXfs>
  <cellStyles count="4">
    <cellStyle name="Entrada" xfId="1" builtinId="20"/>
    <cellStyle name="Hipervínculo" xfId="2" builtinId="8"/>
    <cellStyle name="Normal" xfId="0" builtinId="0"/>
    <cellStyle name="Notas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aehnetwork.org/wp-content/uploads/2016/02/ReconstructingAfricanPopulation.COMPLETE.pdf" TargetMode="External"/><Relationship Id="rId1" Type="http://schemas.openxmlformats.org/officeDocument/2006/relationships/hyperlink" Target="http://hdl.handle.net/10016/364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5959-0968-452D-9348-8D309CA419F1}">
  <dimension ref="A1:AV211"/>
  <sheetViews>
    <sheetView tabSelected="1" workbookViewId="0">
      <pane xSplit="1" ySplit="3" topLeftCell="B61" activePane="bottomRight" state="frozen"/>
      <selection pane="topRight" activeCell="B1" sqref="B1"/>
      <selection pane="bottomLeft" activeCell="A7" sqref="A7"/>
      <selection pane="bottomRight" activeCell="J148" sqref="J148"/>
    </sheetView>
  </sheetViews>
  <sheetFormatPr baseColWidth="10" defaultRowHeight="14.4" x14ac:dyDescent="0.3"/>
  <cols>
    <col min="1" max="1" width="20.33203125" style="3" customWidth="1"/>
    <col min="2" max="12" width="16.5546875" style="5" customWidth="1"/>
    <col min="13" max="13" width="17.44140625" style="5" customWidth="1"/>
    <col min="14" max="47" width="16.5546875" style="5" customWidth="1"/>
    <col min="48" max="48" width="11.5546875" style="5"/>
  </cols>
  <sheetData>
    <row r="1" spans="1:48" x14ac:dyDescent="0.3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6" t="s">
        <v>40</v>
      </c>
    </row>
    <row r="2" spans="1:48" x14ac:dyDescent="0.3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41</v>
      </c>
      <c r="H2" s="4" t="s">
        <v>54</v>
      </c>
      <c r="I2" s="4" t="s">
        <v>8</v>
      </c>
      <c r="J2" s="4" t="s">
        <v>55</v>
      </c>
      <c r="K2" s="4" t="s">
        <v>51</v>
      </c>
      <c r="L2" s="4" t="s">
        <v>10</v>
      </c>
      <c r="M2" s="4" t="s">
        <v>32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4" t="s">
        <v>46</v>
      </c>
      <c r="U2" s="4" t="s">
        <v>17</v>
      </c>
      <c r="V2" s="4" t="s">
        <v>49</v>
      </c>
      <c r="W2" s="4" t="s">
        <v>18</v>
      </c>
      <c r="X2" s="4" t="s">
        <v>19</v>
      </c>
      <c r="Y2" s="4" t="s">
        <v>20</v>
      </c>
      <c r="Z2" s="4" t="s">
        <v>61</v>
      </c>
      <c r="AA2" s="4" t="s">
        <v>21</v>
      </c>
      <c r="AB2" s="4" t="s">
        <v>22</v>
      </c>
      <c r="AC2" s="4" t="s">
        <v>23</v>
      </c>
      <c r="AD2" s="4" t="s">
        <v>24</v>
      </c>
      <c r="AE2" s="4" t="s">
        <v>42</v>
      </c>
      <c r="AF2" s="4" t="s">
        <v>25</v>
      </c>
      <c r="AG2" s="4" t="s">
        <v>26</v>
      </c>
      <c r="AH2" s="4" t="s">
        <v>7</v>
      </c>
      <c r="AI2" s="4" t="s">
        <v>59</v>
      </c>
      <c r="AJ2" s="4" t="s">
        <v>27</v>
      </c>
      <c r="AK2" s="4" t="s">
        <v>28</v>
      </c>
      <c r="AL2" s="4" t="s">
        <v>60</v>
      </c>
      <c r="AM2" s="4" t="s">
        <v>29</v>
      </c>
      <c r="AN2" s="4" t="s">
        <v>30</v>
      </c>
      <c r="AO2" s="4" t="s">
        <v>31</v>
      </c>
      <c r="AP2" s="4" t="s">
        <v>44</v>
      </c>
      <c r="AQ2" s="4" t="s">
        <v>9</v>
      </c>
      <c r="AR2" s="4" t="s">
        <v>33</v>
      </c>
      <c r="AS2" s="4" t="s">
        <v>34</v>
      </c>
      <c r="AT2" s="4" t="s">
        <v>35</v>
      </c>
      <c r="AU2" s="4" t="s">
        <v>56</v>
      </c>
      <c r="AV2" s="6" t="s">
        <v>1</v>
      </c>
    </row>
    <row r="3" spans="1:48" x14ac:dyDescent="0.3">
      <c r="B3" s="4"/>
      <c r="C3" s="4"/>
      <c r="D3" s="4" t="s">
        <v>36</v>
      </c>
      <c r="E3" s="4" t="s">
        <v>37</v>
      </c>
      <c r="F3" s="4" t="s">
        <v>38</v>
      </c>
      <c r="G3" s="4" t="s">
        <v>57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 t="s">
        <v>47</v>
      </c>
      <c r="U3" s="4" t="s">
        <v>45</v>
      </c>
      <c r="V3" s="4" t="s">
        <v>48</v>
      </c>
      <c r="W3" s="4"/>
      <c r="X3" s="4"/>
      <c r="Y3" s="4" t="s">
        <v>58</v>
      </c>
      <c r="Z3" s="4" t="s">
        <v>50</v>
      </c>
      <c r="AA3" s="4"/>
      <c r="AB3" s="4"/>
      <c r="AC3" s="4"/>
      <c r="AD3" s="4"/>
      <c r="AE3" s="4"/>
      <c r="AF3" s="4"/>
      <c r="AG3" s="4"/>
      <c r="AH3" s="4" t="s">
        <v>39</v>
      </c>
      <c r="AI3" s="4"/>
      <c r="AJ3" s="4"/>
      <c r="AK3" s="4"/>
      <c r="AL3" s="4"/>
      <c r="AM3" s="4"/>
      <c r="AN3" s="4"/>
      <c r="AO3" s="4"/>
      <c r="AP3" s="4" t="s">
        <v>43</v>
      </c>
      <c r="AQ3" s="4"/>
      <c r="AR3" s="4"/>
      <c r="AS3" s="4"/>
      <c r="AT3" s="4"/>
      <c r="AU3" s="4"/>
      <c r="AV3" s="6"/>
    </row>
    <row r="4" spans="1:48" x14ac:dyDescent="0.3">
      <c r="A4" s="3">
        <v>1800</v>
      </c>
      <c r="B4" s="9">
        <v>3732.7625450188266</v>
      </c>
      <c r="C4" s="9">
        <v>3094.0129451498174</v>
      </c>
      <c r="D4" s="9">
        <v>125.63436739310805</v>
      </c>
      <c r="E4" s="9">
        <v>89.680737135173032</v>
      </c>
      <c r="F4" s="9">
        <v>9552.4627783906453</v>
      </c>
      <c r="G4" s="9">
        <v>6186.4704870537917</v>
      </c>
      <c r="H4" s="9">
        <v>58</v>
      </c>
      <c r="I4" s="9">
        <v>3117.4033031244239</v>
      </c>
      <c r="J4" s="9">
        <v>2.2021719641004336</v>
      </c>
      <c r="K4" s="9">
        <v>76.103830298899069</v>
      </c>
      <c r="L4" s="9">
        <v>4567.7295574673899</v>
      </c>
      <c r="M4" s="9">
        <v>166.14699752826078</v>
      </c>
      <c r="N4" s="9">
        <v>497.5985946746784</v>
      </c>
      <c r="O4" s="9">
        <v>11007.55748485149</v>
      </c>
      <c r="P4" s="9">
        <v>4119.6926454597551</v>
      </c>
      <c r="Q4" s="9">
        <v>41.216185210718791</v>
      </c>
      <c r="R4" s="9">
        <v>9829.1397928300157</v>
      </c>
      <c r="S4" s="9">
        <v>118.94678637778684</v>
      </c>
      <c r="T4" s="9">
        <v>5608.654855165596</v>
      </c>
      <c r="U4" s="9">
        <v>111.50624298971444</v>
      </c>
      <c r="V4" s="9">
        <v>537.99621238807833</v>
      </c>
      <c r="W4" s="9">
        <v>1952.9599280861512</v>
      </c>
      <c r="X4" s="9">
        <v>230.53456566669962</v>
      </c>
      <c r="Y4" s="9">
        <v>693.61599939660186</v>
      </c>
      <c r="Z4" s="9">
        <v>806.49416749741908</v>
      </c>
      <c r="AA4" s="9">
        <v>374.46416485640714</v>
      </c>
      <c r="AB4" s="9">
        <v>2530.125741430073</v>
      </c>
      <c r="AC4" s="9">
        <v>2070.0339160455624</v>
      </c>
      <c r="AD4" s="9">
        <v>64.046942843630262</v>
      </c>
      <c r="AE4" s="9">
        <v>3626.4240175973227</v>
      </c>
      <c r="AF4" s="9">
        <v>4570.4763034772104</v>
      </c>
      <c r="AG4" s="9">
        <v>15121.666145085916</v>
      </c>
      <c r="AH4" s="9">
        <v>1532.6831869671612</v>
      </c>
      <c r="AI4" s="9">
        <v>108.40332569318898</v>
      </c>
      <c r="AJ4" s="9">
        <v>2887.9154877375527</v>
      </c>
      <c r="AK4" s="9">
        <v>6.3</v>
      </c>
      <c r="AL4" s="9">
        <v>49.620901711189006</v>
      </c>
      <c r="AM4" s="9">
        <v>1.700005698193171</v>
      </c>
      <c r="AN4" s="9">
        <v>814.8716149520468</v>
      </c>
      <c r="AO4" s="9">
        <v>2839.0866517596073</v>
      </c>
      <c r="AP4" s="9">
        <v>604.06510175040853</v>
      </c>
      <c r="AQ4" s="11">
        <v>4.3147694708499493</v>
      </c>
      <c r="AR4" s="9">
        <v>4480.4293871264172</v>
      </c>
      <c r="AS4" s="9">
        <v>58.889043542630041</v>
      </c>
      <c r="AT4" s="9">
        <v>1201.0939286928856</v>
      </c>
      <c r="AU4" s="9">
        <v>166.75057352911631</v>
      </c>
      <c r="AV4" s="9">
        <f t="shared" ref="AV4:AV35" si="0">SUM(B4:AU4)</f>
        <v>109437.88439108651</v>
      </c>
    </row>
    <row r="5" spans="1:48" x14ac:dyDescent="0.3">
      <c r="A5" s="3">
        <f>+A4+1</f>
        <v>1801</v>
      </c>
      <c r="B5" s="9">
        <v>3736.495307563845</v>
      </c>
      <c r="C5" s="9">
        <v>3087.3229267935403</v>
      </c>
      <c r="D5" s="9">
        <v>125.79441333758325</v>
      </c>
      <c r="E5" s="9">
        <v>89.794981657383431</v>
      </c>
      <c r="F5" s="9">
        <v>9531.8080001243598</v>
      </c>
      <c r="G5" s="9">
        <v>6192.2794222093289</v>
      </c>
      <c r="H5" s="9">
        <v>58</v>
      </c>
      <c r="I5" s="9">
        <v>3110.6627090507909</v>
      </c>
      <c r="J5" s="9">
        <v>2.2241936837414378</v>
      </c>
      <c r="K5" s="9">
        <v>76.256037959496865</v>
      </c>
      <c r="L5" s="9">
        <v>4597.3593548043609</v>
      </c>
      <c r="M5" s="9">
        <v>165.78774678076576</v>
      </c>
      <c r="N5" s="9">
        <v>497.5985946746784</v>
      </c>
      <c r="O5" s="9">
        <v>11007.55748485149</v>
      </c>
      <c r="P5" s="9">
        <v>4110.7848548625798</v>
      </c>
      <c r="Q5" s="9">
        <v>41.216185210718791</v>
      </c>
      <c r="R5" s="9">
        <v>9820.7387675056707</v>
      </c>
      <c r="S5" s="9">
        <v>118.84512183890844</v>
      </c>
      <c r="T5" s="9">
        <v>5613.9212364457826</v>
      </c>
      <c r="U5" s="9">
        <v>111.64829108009349</v>
      </c>
      <c r="V5" s="9">
        <v>537.53638376625213</v>
      </c>
      <c r="W5" s="9">
        <v>1951.2907214048857</v>
      </c>
      <c r="X5" s="9">
        <v>230.33752637688141</v>
      </c>
      <c r="Y5" s="9">
        <v>694.30961539599843</v>
      </c>
      <c r="Z5" s="9">
        <v>806.49416749741908</v>
      </c>
      <c r="AA5" s="9">
        <v>374.14410806625818</v>
      </c>
      <c r="AB5" s="9">
        <v>2532.5014638065204</v>
      </c>
      <c r="AC5" s="9">
        <v>2072.6709375872283</v>
      </c>
      <c r="AD5" s="9">
        <v>65.754510268421512</v>
      </c>
      <c r="AE5" s="9">
        <v>3630.0504416149197</v>
      </c>
      <c r="AF5" s="9">
        <v>4574.7678620536844</v>
      </c>
      <c r="AG5" s="9">
        <v>15108.741565426988</v>
      </c>
      <c r="AH5" s="9">
        <v>1532.6831869671612</v>
      </c>
      <c r="AI5" s="9">
        <v>109.16214897304128</v>
      </c>
      <c r="AJ5" s="9">
        <v>2890.627165395766</v>
      </c>
      <c r="AK5" s="9">
        <v>6.3</v>
      </c>
      <c r="AL5" s="9">
        <v>49.670522612900193</v>
      </c>
      <c r="AM5" s="9">
        <v>1.8240637655053518</v>
      </c>
      <c r="AN5" s="9">
        <v>814.17513924638058</v>
      </c>
      <c r="AO5" s="9">
        <v>2842.7033715637199</v>
      </c>
      <c r="AP5" s="9">
        <v>604.83462184065297</v>
      </c>
      <c r="AQ5" s="11">
        <v>4.3147694708499493</v>
      </c>
      <c r="AR5" s="9">
        <v>4480.4293871264172</v>
      </c>
      <c r="AS5" s="9">
        <v>58.964062446999819</v>
      </c>
      <c r="AT5" s="9">
        <v>1202.2950226215783</v>
      </c>
      <c r="AU5" s="9">
        <v>167.08407467617454</v>
      </c>
      <c r="AV5" s="9">
        <f t="shared" si="0"/>
        <v>109439.76247040773</v>
      </c>
    </row>
    <row r="6" spans="1:48" x14ac:dyDescent="0.3">
      <c r="A6" s="3">
        <f t="shared" ref="A6:A69" si="1">+A5+1</f>
        <v>1802</v>
      </c>
      <c r="B6" s="9">
        <v>3740.2318028714085</v>
      </c>
      <c r="C6" s="9">
        <v>3080.647373905379</v>
      </c>
      <c r="D6" s="9">
        <v>125.95466316499967</v>
      </c>
      <c r="E6" s="9">
        <v>89.909371715985159</v>
      </c>
      <c r="F6" s="9">
        <v>9511.1978825780498</v>
      </c>
      <c r="G6" s="9">
        <v>6198.0938118041486</v>
      </c>
      <c r="H6" s="9">
        <v>58</v>
      </c>
      <c r="I6" s="9">
        <v>3103.9366898024364</v>
      </c>
      <c r="J6" s="9">
        <v>2.2464356205788523</v>
      </c>
      <c r="K6" s="9">
        <v>76.408550035415857</v>
      </c>
      <c r="L6" s="9">
        <v>4628.17434403481</v>
      </c>
      <c r="M6" s="9">
        <v>165.42927282190666</v>
      </c>
      <c r="N6" s="9">
        <v>497.5985946746784</v>
      </c>
      <c r="O6" s="9">
        <v>11007.55748485149</v>
      </c>
      <c r="P6" s="9">
        <v>4101.8963251035666</v>
      </c>
      <c r="Q6" s="9">
        <v>41.216185210718791</v>
      </c>
      <c r="R6" s="9">
        <v>9812.3449225885615</v>
      </c>
      <c r="S6" s="9">
        <v>118.7435441933273</v>
      </c>
      <c r="T6" s="9">
        <v>5619.1925627212495</v>
      </c>
      <c r="U6" s="9">
        <v>111.79052012590103</v>
      </c>
      <c r="V6" s="9">
        <v>537.07694816273454</v>
      </c>
      <c r="W6" s="9">
        <v>1949.6229414046825</v>
      </c>
      <c r="X6" s="9">
        <v>230.14065549773787</v>
      </c>
      <c r="Y6" s="9">
        <v>695.00392501139436</v>
      </c>
      <c r="Z6" s="9">
        <v>806.49416749741908</v>
      </c>
      <c r="AA6" s="9">
        <v>373.82432483058659</v>
      </c>
      <c r="AB6" s="9">
        <v>2534.8794169245934</v>
      </c>
      <c r="AC6" s="9">
        <v>2075.3113184374338</v>
      </c>
      <c r="AD6" s="9">
        <v>67.507603465103657</v>
      </c>
      <c r="AE6" s="9">
        <v>3633.6804920565341</v>
      </c>
      <c r="AF6" s="9">
        <v>4579.0634502922312</v>
      </c>
      <c r="AG6" s="9">
        <v>15095.828032484589</v>
      </c>
      <c r="AH6" s="9">
        <v>1532.6831869671612</v>
      </c>
      <c r="AI6" s="9">
        <v>109.92628401585256</v>
      </c>
      <c r="AJ6" s="9">
        <v>2893.3413892488916</v>
      </c>
      <c r="AK6" s="9">
        <v>6.3</v>
      </c>
      <c r="AL6" s="9">
        <v>49.720193135513085</v>
      </c>
      <c r="AM6" s="9">
        <v>1.9571749813343822</v>
      </c>
      <c r="AN6" s="9">
        <v>813.4792588227192</v>
      </c>
      <c r="AO6" s="9">
        <v>2846.3246987165139</v>
      </c>
      <c r="AP6" s="9">
        <v>605.60512222452405</v>
      </c>
      <c r="AQ6" s="11">
        <v>4.3147694708499493</v>
      </c>
      <c r="AR6" s="9">
        <v>4480.4293871264172</v>
      </c>
      <c r="AS6" s="9">
        <v>59.039176918145252</v>
      </c>
      <c r="AT6" s="9">
        <v>1203.4973176441997</v>
      </c>
      <c r="AU6" s="9">
        <v>167.41824282552687</v>
      </c>
      <c r="AV6" s="9">
        <f t="shared" si="0"/>
        <v>109443.03981598729</v>
      </c>
    </row>
    <row r="7" spans="1:48" x14ac:dyDescent="0.3">
      <c r="A7" s="3">
        <f t="shared" si="1"/>
        <v>1803</v>
      </c>
      <c r="B7" s="9">
        <v>3743.9720346742797</v>
      </c>
      <c r="C7" s="9">
        <v>3073.9862552074269</v>
      </c>
      <c r="D7" s="9">
        <v>126.11511713508433</v>
      </c>
      <c r="E7" s="9">
        <v>90.023907496377419</v>
      </c>
      <c r="F7" s="9">
        <v>9490.6323291842364</v>
      </c>
      <c r="G7" s="9">
        <v>6203.9136609598272</v>
      </c>
      <c r="H7" s="9">
        <v>58</v>
      </c>
      <c r="I7" s="9">
        <v>3097.2252138649965</v>
      </c>
      <c r="J7" s="9">
        <v>2.2688999767846409</v>
      </c>
      <c r="K7" s="9">
        <v>76.561367135486691</v>
      </c>
      <c r="L7" s="9">
        <v>4657.8041413717801</v>
      </c>
      <c r="M7" s="9">
        <v>165.07157397207507</v>
      </c>
      <c r="N7" s="9">
        <v>497.5985946746784</v>
      </c>
      <c r="O7" s="9">
        <v>11007.55748485149</v>
      </c>
      <c r="P7" s="9">
        <v>4093.0270145360373</v>
      </c>
      <c r="Q7" s="9">
        <v>41.216185210718791</v>
      </c>
      <c r="R7" s="9">
        <v>9803.9582519415526</v>
      </c>
      <c r="S7" s="9">
        <v>118.64205336677517</v>
      </c>
      <c r="T7" s="9">
        <v>5624.4688386352191</v>
      </c>
      <c r="U7" s="9">
        <v>111.93293035765664</v>
      </c>
      <c r="V7" s="9">
        <v>536.61790524161052</v>
      </c>
      <c r="W7" s="9">
        <v>1947.9565868661487</v>
      </c>
      <c r="X7" s="9">
        <v>229.94395288532732</v>
      </c>
      <c r="Y7" s="9">
        <v>695.69892893640565</v>
      </c>
      <c r="Z7" s="9">
        <v>806.49416749741908</v>
      </c>
      <c r="AA7" s="9">
        <v>373.50481491558372</v>
      </c>
      <c r="AB7" s="9">
        <v>2537.2596028789008</v>
      </c>
      <c r="AC7" s="9">
        <v>2077.9550628756106</v>
      </c>
      <c r="AD7" s="9">
        <v>69.30743620472677</v>
      </c>
      <c r="AE7" s="9">
        <v>3637.3141725485902</v>
      </c>
      <c r="AF7" s="9">
        <v>4583.3630719765997</v>
      </c>
      <c r="AG7" s="9">
        <v>15082.925536817025</v>
      </c>
      <c r="AH7" s="9">
        <v>1532.6831869671612</v>
      </c>
      <c r="AI7" s="9">
        <v>110.69576800396352</v>
      </c>
      <c r="AJ7" s="9">
        <v>2896.0581616877403</v>
      </c>
      <c r="AK7" s="9">
        <v>6.3</v>
      </c>
      <c r="AL7" s="9">
        <v>49.769913328648592</v>
      </c>
      <c r="AM7" s="9">
        <v>2.1</v>
      </c>
      <c r="AN7" s="9">
        <v>812.78397317227143</v>
      </c>
      <c r="AO7" s="9">
        <v>2849.9506390873025</v>
      </c>
      <c r="AP7" s="9">
        <v>606.3766041508203</v>
      </c>
      <c r="AQ7" s="11">
        <v>4.3147694708499493</v>
      </c>
      <c r="AR7" s="9">
        <v>4480.4293871264172</v>
      </c>
      <c r="AS7" s="9">
        <v>59.114387077809106</v>
      </c>
      <c r="AT7" s="9">
        <v>1204.7008149618439</v>
      </c>
      <c r="AU7" s="9">
        <v>167.75307931117794</v>
      </c>
      <c r="AV7" s="9">
        <f t="shared" si="0"/>
        <v>109445.34777854246</v>
      </c>
    </row>
    <row r="8" spans="1:48" x14ac:dyDescent="0.3">
      <c r="A8" s="3">
        <f t="shared" si="1"/>
        <v>1804</v>
      </c>
      <c r="B8" s="9">
        <v>3747.7160067089535</v>
      </c>
      <c r="C8" s="9">
        <v>3067.3395394894083</v>
      </c>
      <c r="D8" s="9">
        <v>126.27577550789509</v>
      </c>
      <c r="E8" s="9">
        <v>90.138589184195553</v>
      </c>
      <c r="F8" s="9">
        <v>9470.1112435842388</v>
      </c>
      <c r="G8" s="9">
        <v>6209.7389748027499</v>
      </c>
      <c r="H8" s="9">
        <v>58</v>
      </c>
      <c r="I8" s="9">
        <v>3090.5282497922499</v>
      </c>
      <c r="J8" s="9">
        <v>2.2915889765524873</v>
      </c>
      <c r="K8" s="9">
        <v>76.714489869757671</v>
      </c>
      <c r="L8" s="9">
        <v>4688.6191306022292</v>
      </c>
      <c r="M8" s="9">
        <v>164.7146485552943</v>
      </c>
      <c r="N8" s="9">
        <v>497.5985946746784</v>
      </c>
      <c r="O8" s="9">
        <v>11007.55748485149</v>
      </c>
      <c r="P8" s="9">
        <v>4084.1768816033655</v>
      </c>
      <c r="Q8" s="9">
        <v>41.216185210718791</v>
      </c>
      <c r="R8" s="9">
        <v>9795.5787494327506</v>
      </c>
      <c r="S8" s="9">
        <v>118.54064928504732</v>
      </c>
      <c r="T8" s="9">
        <v>5629.7500688352739</v>
      </c>
      <c r="U8" s="9">
        <v>112.0755220061736</v>
      </c>
      <c r="V8" s="9">
        <v>536.15925466725196</v>
      </c>
      <c r="W8" s="9">
        <v>1946.2916565709334</v>
      </c>
      <c r="X8" s="9">
        <v>229.7474183958312</v>
      </c>
      <c r="Y8" s="9">
        <v>696.39462786534193</v>
      </c>
      <c r="Z8" s="9">
        <v>806.49416749741908</v>
      </c>
      <c r="AA8" s="9">
        <v>373.18557808764075</v>
      </c>
      <c r="AB8" s="9">
        <v>2539.6420237660177</v>
      </c>
      <c r="AC8" s="9">
        <v>2080.6021751866419</v>
      </c>
      <c r="AD8" s="9">
        <v>71.155254618916061</v>
      </c>
      <c r="AE8" s="9">
        <v>3640.9514867211383</v>
      </c>
      <c r="AF8" s="9">
        <v>4587.6667308940896</v>
      </c>
      <c r="AG8" s="9">
        <v>15070.03406899067</v>
      </c>
      <c r="AH8" s="9">
        <v>1532.6831869671612</v>
      </c>
      <c r="AI8" s="9">
        <v>111.47063837999126</v>
      </c>
      <c r="AJ8" s="9">
        <v>2898.7774851053682</v>
      </c>
      <c r="AK8" s="9">
        <v>6.3</v>
      </c>
      <c r="AL8" s="9">
        <v>49.819683241977238</v>
      </c>
      <c r="AM8" s="9">
        <v>2.2532476871297971</v>
      </c>
      <c r="AN8" s="9">
        <v>812.089281786681</v>
      </c>
      <c r="AO8" s="9">
        <v>2853.5811985528762</v>
      </c>
      <c r="AP8" s="9">
        <v>607.14906886993117</v>
      </c>
      <c r="AQ8" s="11">
        <v>4.3147694708499493</v>
      </c>
      <c r="AR8" s="9">
        <v>4480.4293871264172</v>
      </c>
      <c r="AS8" s="9">
        <v>59.189693047889229</v>
      </c>
      <c r="AT8" s="9">
        <v>1205.9055157768055</v>
      </c>
      <c r="AU8" s="9">
        <v>168.08858546980031</v>
      </c>
      <c r="AV8" s="9">
        <f t="shared" si="0"/>
        <v>109449.05855771778</v>
      </c>
    </row>
    <row r="9" spans="1:48" x14ac:dyDescent="0.3">
      <c r="A9" s="3">
        <f t="shared" si="1"/>
        <v>1805</v>
      </c>
      <c r="B9" s="9">
        <v>3751.4637227156622</v>
      </c>
      <c r="C9" s="9">
        <v>3060.707195608531</v>
      </c>
      <c r="D9" s="9">
        <v>126.4366385438211</v>
      </c>
      <c r="E9" s="9">
        <v>90.253416965311416</v>
      </c>
      <c r="F9" s="9">
        <v>9449.6345296277304</v>
      </c>
      <c r="G9" s="9">
        <v>6215.5697584641175</v>
      </c>
      <c r="H9" s="9">
        <v>58</v>
      </c>
      <c r="I9" s="9">
        <v>3083.8457662059695</v>
      </c>
      <c r="J9" s="9">
        <v>2.3145048663180123</v>
      </c>
      <c r="K9" s="9">
        <v>76.867918849497187</v>
      </c>
      <c r="L9" s="9">
        <v>4719.4341198326792</v>
      </c>
      <c r="M9" s="9">
        <v>164.35849489921151</v>
      </c>
      <c r="N9" s="9">
        <v>497.5985946746784</v>
      </c>
      <c r="O9" s="9">
        <v>11007.55748485149</v>
      </c>
      <c r="P9" s="9">
        <v>4075.3458848387781</v>
      </c>
      <c r="Q9" s="9">
        <v>41.216185210718791</v>
      </c>
      <c r="R9" s="9">
        <v>9787.2064089355044</v>
      </c>
      <c r="S9" s="9">
        <v>118.43933187400241</v>
      </c>
      <c r="T9" s="9">
        <v>5635.0362579733592</v>
      </c>
      <c r="U9" s="9">
        <v>112.21829530255917</v>
      </c>
      <c r="V9" s="9">
        <v>535.70099610431771</v>
      </c>
      <c r="W9" s="9">
        <v>1944.6281493017273</v>
      </c>
      <c r="X9" s="9">
        <v>229.55105188555385</v>
      </c>
      <c r="Y9" s="9">
        <v>697.09102249320722</v>
      </c>
      <c r="Z9" s="9">
        <v>806.49416749741908</v>
      </c>
      <c r="AA9" s="9">
        <v>372.86661411334853</v>
      </c>
      <c r="AB9" s="9">
        <v>2542.0266816844878</v>
      </c>
      <c r="AC9" s="9">
        <v>2083.25265966087</v>
      </c>
      <c r="AD9" s="9">
        <v>73.052338062643173</v>
      </c>
      <c r="AE9" s="9">
        <v>3644.5924382078592</v>
      </c>
      <c r="AF9" s="9">
        <v>4591.9744308355585</v>
      </c>
      <c r="AG9" s="9">
        <v>15057.15361957996</v>
      </c>
      <c r="AH9" s="9">
        <v>1532.6831869671612</v>
      </c>
      <c r="AI9" s="9">
        <v>112.25093284865119</v>
      </c>
      <c r="AJ9" s="9">
        <v>2901.499361897078</v>
      </c>
      <c r="AK9" s="9">
        <v>6.3</v>
      </c>
      <c r="AL9" s="9">
        <v>49.869502925219209</v>
      </c>
      <c r="AM9" s="9">
        <v>2.4176786378837045</v>
      </c>
      <c r="AN9" s="9">
        <v>811.39518415802627</v>
      </c>
      <c r="AO9" s="9">
        <v>2857.216382997512</v>
      </c>
      <c r="AP9" s="9">
        <v>607.92251763383888</v>
      </c>
      <c r="AQ9" s="11">
        <v>4.3147694708499493</v>
      </c>
      <c r="AR9" s="9">
        <v>4480.4293871264172</v>
      </c>
      <c r="AS9" s="9">
        <v>59.265094950438758</v>
      </c>
      <c r="AT9" s="9">
        <v>1207.1114212925822</v>
      </c>
      <c r="AU9" s="9">
        <v>168.42476264073991</v>
      </c>
      <c r="AV9" s="9">
        <f t="shared" si="0"/>
        <v>109452.98886321329</v>
      </c>
    </row>
    <row r="10" spans="1:48" x14ac:dyDescent="0.3">
      <c r="A10" s="3">
        <f t="shared" si="1"/>
        <v>1806</v>
      </c>
      <c r="B10" s="9">
        <v>3755.2151864383777</v>
      </c>
      <c r="C10" s="9">
        <v>3054.0891924893426</v>
      </c>
      <c r="D10" s="9">
        <v>126.59770650358324</v>
      </c>
      <c r="E10" s="9">
        <v>90.368391025833645</v>
      </c>
      <c r="F10" s="9">
        <v>9429.2020913722863</v>
      </c>
      <c r="G10" s="9">
        <v>6221.4060170799467</v>
      </c>
      <c r="H10" s="9">
        <v>58</v>
      </c>
      <c r="I10" s="9">
        <v>3077.1777317957753</v>
      </c>
      <c r="J10" s="9">
        <v>2.3376499149811925</v>
      </c>
      <c r="K10" s="9">
        <v>77.021654687196175</v>
      </c>
      <c r="L10" s="9">
        <v>4750.2491090631283</v>
      </c>
      <c r="M10" s="9">
        <v>164.00311133508987</v>
      </c>
      <c r="N10" s="9">
        <v>497.5985946746784</v>
      </c>
      <c r="O10" s="9">
        <v>11007.55748485149</v>
      </c>
      <c r="P10" s="9">
        <v>4066.5339828651654</v>
      </c>
      <c r="Q10" s="9">
        <v>41.216185210718791</v>
      </c>
      <c r="R10" s="9">
        <v>9778.8412243284001</v>
      </c>
      <c r="S10" s="9">
        <v>118.33810105956248</v>
      </c>
      <c r="T10" s="9">
        <v>5640.3274107057887</v>
      </c>
      <c r="U10" s="9">
        <v>112.36125047821503</v>
      </c>
      <c r="V10" s="9">
        <v>535.24312921775334</v>
      </c>
      <c r="W10" s="9">
        <v>1942.9660638422615</v>
      </c>
      <c r="X10" s="9">
        <v>229.35485321092236</v>
      </c>
      <c r="Y10" s="9">
        <v>697.78811351570039</v>
      </c>
      <c r="Z10" s="9">
        <v>806.49416749741908</v>
      </c>
      <c r="AA10" s="9">
        <v>372.5479227594974</v>
      </c>
      <c r="AB10" s="9">
        <v>2544.4135787348259</v>
      </c>
      <c r="AC10" s="9">
        <v>2085.9065205941019</v>
      </c>
      <c r="AD10" s="9">
        <v>75</v>
      </c>
      <c r="AE10" s="9">
        <v>3648.2370306460666</v>
      </c>
      <c r="AF10" s="9">
        <v>4596.2861755954227</v>
      </c>
      <c r="AG10" s="9">
        <v>15044.284179167389</v>
      </c>
      <c r="AH10" s="9">
        <v>1532.6831869671612</v>
      </c>
      <c r="AI10" s="9">
        <v>113.03668937859173</v>
      </c>
      <c r="AJ10" s="9">
        <v>2904.2237944604217</v>
      </c>
      <c r="AK10" s="9">
        <v>6.3</v>
      </c>
      <c r="AL10" s="9">
        <v>49.91937242814442</v>
      </c>
      <c r="AM10" s="9">
        <v>2.5941089519212266</v>
      </c>
      <c r="AN10" s="9">
        <v>810.70167977881943</v>
      </c>
      <c r="AO10" s="9">
        <v>2860.8561983129821</v>
      </c>
      <c r="AP10" s="9">
        <v>608.69695169612066</v>
      </c>
      <c r="AQ10" s="11">
        <v>4.3147694708499493</v>
      </c>
      <c r="AR10" s="9">
        <v>4480.4293871264172</v>
      </c>
      <c r="AS10" s="9">
        <v>59.340592907666313</v>
      </c>
      <c r="AT10" s="9">
        <v>1208.3185327138747</v>
      </c>
      <c r="AU10" s="9">
        <v>168.76161216602139</v>
      </c>
      <c r="AV10" s="9">
        <f t="shared" si="0"/>
        <v>109457.14068701991</v>
      </c>
    </row>
    <row r="11" spans="1:48" x14ac:dyDescent="0.3">
      <c r="A11" s="3">
        <f t="shared" si="1"/>
        <v>1807</v>
      </c>
      <c r="B11" s="9">
        <v>3758.9704016248156</v>
      </c>
      <c r="C11" s="9">
        <v>3047.4854991235825</v>
      </c>
      <c r="D11" s="9">
        <v>126.75897964823452</v>
      </c>
      <c r="E11" s="9">
        <v>90.483511552107942</v>
      </c>
      <c r="F11" s="9">
        <v>9408.8138330829297</v>
      </c>
      <c r="G11" s="9">
        <v>6227.247755791077</v>
      </c>
      <c r="H11" s="9">
        <v>58</v>
      </c>
      <c r="I11" s="9">
        <v>3070.5241153189886</v>
      </c>
      <c r="J11" s="9">
        <v>2.3610264141310044</v>
      </c>
      <c r="K11" s="9">
        <v>77.175697996570563</v>
      </c>
      <c r="L11" s="9">
        <v>4782.2492901870564</v>
      </c>
      <c r="M11" s="9">
        <v>163.64849619780085</v>
      </c>
      <c r="N11" s="9">
        <v>497.5985946746784</v>
      </c>
      <c r="O11" s="9">
        <v>11007.55748485149</v>
      </c>
      <c r="P11" s="9">
        <v>4057.7411343948838</v>
      </c>
      <c r="Q11" s="9">
        <v>41.216185210718791</v>
      </c>
      <c r="R11" s="9">
        <v>9770.4831894952531</v>
      </c>
      <c r="S11" s="9">
        <v>118.2369567677129</v>
      </c>
      <c r="T11" s="9">
        <v>5645.6235316932489</v>
      </c>
      <c r="U11" s="9">
        <v>112.50438776483766</v>
      </c>
      <c r="V11" s="9">
        <v>534.78565367279054</v>
      </c>
      <c r="W11" s="9">
        <v>1941.3053989773066</v>
      </c>
      <c r="X11" s="9">
        <v>229.15882222848663</v>
      </c>
      <c r="Y11" s="9">
        <v>698.48590162921596</v>
      </c>
      <c r="Z11" s="9">
        <v>806.49416749741908</v>
      </c>
      <c r="AA11" s="9">
        <v>372.22950379307696</v>
      </c>
      <c r="AB11" s="9">
        <v>2546.8027170195182</v>
      </c>
      <c r="AC11" s="9">
        <v>2088.5637622876179</v>
      </c>
      <c r="AD11" s="9">
        <v>77.8</v>
      </c>
      <c r="AE11" s="9">
        <v>3651.8852676767124</v>
      </c>
      <c r="AF11" s="9">
        <v>4600.6019689716622</v>
      </c>
      <c r="AG11" s="9">
        <v>15031.4257383435</v>
      </c>
      <c r="AH11" s="9">
        <v>1532.6831869671612</v>
      </c>
      <c r="AI11" s="9">
        <v>113.82794620424187</v>
      </c>
      <c r="AJ11" s="9">
        <v>2906.9507851952026</v>
      </c>
      <c r="AK11" s="9">
        <v>6.3</v>
      </c>
      <c r="AL11" s="9">
        <v>49.969291800572556</v>
      </c>
      <c r="AM11" s="9">
        <v>2.7834142838472409</v>
      </c>
      <c r="AN11" s="9">
        <v>810.0087681420066</v>
      </c>
      <c r="AO11" s="9">
        <v>2864.5006503985651</v>
      </c>
      <c r="AP11" s="9">
        <v>609.47237231195072</v>
      </c>
      <c r="AQ11" s="11">
        <v>4.3147694708499493</v>
      </c>
      <c r="AR11" s="9">
        <v>4480.4293871264172</v>
      </c>
      <c r="AS11" s="9">
        <v>59.41618704193619</v>
      </c>
      <c r="AT11" s="9">
        <v>1209.5268512465884</v>
      </c>
      <c r="AU11" s="9">
        <v>169.09913539035344</v>
      </c>
      <c r="AV11" s="9">
        <f t="shared" si="0"/>
        <v>109463.50171946712</v>
      </c>
    </row>
    <row r="12" spans="1:48" x14ac:dyDescent="0.3">
      <c r="A12" s="3">
        <f t="shared" si="1"/>
        <v>1808</v>
      </c>
      <c r="B12" s="9">
        <v>3762.7293720264402</v>
      </c>
      <c r="C12" s="9">
        <v>3040.8960845700381</v>
      </c>
      <c r="D12" s="9">
        <v>126.92045823916048</v>
      </c>
      <c r="E12" s="9">
        <v>90.598778730717413</v>
      </c>
      <c r="F12" s="9">
        <v>9388.4696592316886</v>
      </c>
      <c r="G12" s="9">
        <v>6233.0949797431767</v>
      </c>
      <c r="H12" s="9">
        <v>58.706504039707468</v>
      </c>
      <c r="I12" s="9">
        <v>3063.8848856004843</v>
      </c>
      <c r="J12" s="9">
        <v>2.3846366782723143</v>
      </c>
      <c r="K12" s="9">
        <v>77.330049392563708</v>
      </c>
      <c r="L12" s="9">
        <v>4813.0642794175064</v>
      </c>
      <c r="M12" s="9">
        <v>163.2946478258163</v>
      </c>
      <c r="N12" s="9">
        <v>497.5985946746784</v>
      </c>
      <c r="O12" s="9">
        <v>11007.55748485149</v>
      </c>
      <c r="P12" s="9">
        <v>4048.9672982295642</v>
      </c>
      <c r="Q12" s="9">
        <v>41.216185210718791</v>
      </c>
      <c r="R12" s="9">
        <v>9762.1322983251102</v>
      </c>
      <c r="S12" s="9">
        <v>118.13589892450227</v>
      </c>
      <c r="T12" s="9">
        <v>5650.9246256008028</v>
      </c>
      <c r="U12" s="9">
        <v>112.64770739441869</v>
      </c>
      <c r="V12" s="9">
        <v>534.32856913494732</v>
      </c>
      <c r="W12" s="9">
        <v>1939.6461534926718</v>
      </c>
      <c r="X12" s="9">
        <v>228.9629587949191</v>
      </c>
      <c r="Y12" s="9">
        <v>699.18438753084513</v>
      </c>
      <c r="Z12" s="9">
        <v>806.49416749741908</v>
      </c>
      <c r="AA12" s="9">
        <v>371.91135698127607</v>
      </c>
      <c r="AB12" s="9">
        <v>2549.1940986430259</v>
      </c>
      <c r="AC12" s="9">
        <v>2091.2243890481768</v>
      </c>
      <c r="AD12" s="9">
        <v>77.8</v>
      </c>
      <c r="AE12" s="9">
        <v>3655.5371529443887</v>
      </c>
      <c r="AF12" s="9">
        <v>4604.9218147658221</v>
      </c>
      <c r="AG12" s="9">
        <v>15018.578287706878</v>
      </c>
      <c r="AH12" s="9">
        <v>1532.6831869671612</v>
      </c>
      <c r="AI12" s="9">
        <v>114.62474182767156</v>
      </c>
      <c r="AJ12" s="9">
        <v>2909.6803365034771</v>
      </c>
      <c r="AK12" s="9">
        <v>6.3</v>
      </c>
      <c r="AL12" s="9">
        <v>50.019261092373121</v>
      </c>
      <c r="AM12" s="9">
        <v>2.9865341892394457</v>
      </c>
      <c r="AN12" s="9">
        <v>809.3164487409673</v>
      </c>
      <c r="AO12" s="9">
        <v>2868.1497451610544</v>
      </c>
      <c r="AP12" s="9">
        <v>610.24878073810214</v>
      </c>
      <c r="AQ12" s="11">
        <v>4.3147694708499493</v>
      </c>
      <c r="AR12" s="9">
        <v>4480.4293871264172</v>
      </c>
      <c r="AS12" s="9">
        <v>59.491877475768575</v>
      </c>
      <c r="AT12" s="9">
        <v>1210.7363780978349</v>
      </c>
      <c r="AU12" s="9">
        <v>169.43733366113415</v>
      </c>
      <c r="AV12" s="9">
        <f t="shared" si="0"/>
        <v>109466.75654629928</v>
      </c>
    </row>
    <row r="13" spans="1:48" x14ac:dyDescent="0.3">
      <c r="A13" s="3">
        <f t="shared" si="1"/>
        <v>1809</v>
      </c>
      <c r="B13" s="9">
        <v>3766.4921013984663</v>
      </c>
      <c r="C13" s="9">
        <v>3034.3209179543987</v>
      </c>
      <c r="D13" s="9">
        <v>127.08214253807968</v>
      </c>
      <c r="E13" s="9">
        <v>90.714192748482844</v>
      </c>
      <c r="F13" s="9">
        <v>9368.1694744971446</v>
      </c>
      <c r="G13" s="9">
        <v>6238.9476940867444</v>
      </c>
      <c r="H13" s="9">
        <v>59.421614078692919</v>
      </c>
      <c r="I13" s="9">
        <v>3057.2600115325463</v>
      </c>
      <c r="J13" s="9">
        <v>2.4084830450550374</v>
      </c>
      <c r="K13" s="9">
        <v>77.484709491348838</v>
      </c>
      <c r="L13" s="9">
        <v>4845.0644605414345</v>
      </c>
      <c r="M13" s="9">
        <v>162.94156456120066</v>
      </c>
      <c r="N13" s="9">
        <v>497.5985946746784</v>
      </c>
      <c r="O13" s="9">
        <v>11007.55748485149</v>
      </c>
      <c r="P13" s="9">
        <v>4040.2124332599187</v>
      </c>
      <c r="Q13" s="9">
        <v>41.216185210718791</v>
      </c>
      <c r="R13" s="9">
        <v>9753.7885447122389</v>
      </c>
      <c r="S13" s="9">
        <v>118.03492745604242</v>
      </c>
      <c r="T13" s="9">
        <v>5656.2306970978925</v>
      </c>
      <c r="U13" s="9">
        <v>112.79120959924529</v>
      </c>
      <c r="V13" s="9">
        <v>533.87187527002754</v>
      </c>
      <c r="W13" s="9">
        <v>1937.9883261752043</v>
      </c>
      <c r="X13" s="9">
        <v>228.76726276701476</v>
      </c>
      <c r="Y13" s="9">
        <v>699.88357191837588</v>
      </c>
      <c r="Z13" s="9">
        <v>806.49416749741908</v>
      </c>
      <c r="AA13" s="9">
        <v>371.59348209148249</v>
      </c>
      <c r="AB13" s="9">
        <v>2551.5877257117859</v>
      </c>
      <c r="AC13" s="9">
        <v>2093.8884051880245</v>
      </c>
      <c r="AD13" s="9">
        <v>77.8</v>
      </c>
      <c r="AE13" s="9">
        <v>3659.1926900973326</v>
      </c>
      <c r="AF13" s="9">
        <v>4609.245716783018</v>
      </c>
      <c r="AG13" s="9">
        <v>15005.741817864142</v>
      </c>
      <c r="AH13" s="9">
        <v>1532.6831869671612</v>
      </c>
      <c r="AI13" s="9">
        <v>115.42711502046525</v>
      </c>
      <c r="AJ13" s="9">
        <v>2912.4124507895572</v>
      </c>
      <c r="AK13" s="9">
        <v>6.3</v>
      </c>
      <c r="AL13" s="9">
        <v>50.069280353465487</v>
      </c>
      <c r="AM13" s="9">
        <v>3.2044767878275451</v>
      </c>
      <c r="AN13" s="9">
        <v>808.62472106951407</v>
      </c>
      <c r="AO13" s="9">
        <v>2871.8034885147681</v>
      </c>
      <c r="AP13" s="9">
        <v>611.02617823294895</v>
      </c>
      <c r="AQ13" s="11">
        <v>4.3147694708499493</v>
      </c>
      <c r="AR13" s="9">
        <v>4480.4293871264172</v>
      </c>
      <c r="AS13" s="9">
        <v>59.56766433183973</v>
      </c>
      <c r="AT13" s="9">
        <v>1211.9471144759325</v>
      </c>
      <c r="AU13" s="9">
        <v>169.77620832845642</v>
      </c>
      <c r="AV13" s="9">
        <f t="shared" si="0"/>
        <v>109471.37852616885</v>
      </c>
    </row>
    <row r="14" spans="1:48" x14ac:dyDescent="0.3">
      <c r="A14" s="3">
        <f t="shared" si="1"/>
        <v>1810</v>
      </c>
      <c r="B14" s="9">
        <v>3770.2585934998642</v>
      </c>
      <c r="C14" s="9">
        <v>3027.7599684691122</v>
      </c>
      <c r="D14" s="9">
        <v>127.24403280704405</v>
      </c>
      <c r="E14" s="9">
        <v>90.829753792463023</v>
      </c>
      <c r="F14" s="9">
        <v>9347.9131837639889</v>
      </c>
      <c r="G14" s="9">
        <v>6244.8059039771142</v>
      </c>
      <c r="H14" s="9">
        <v>60.145434947529729</v>
      </c>
      <c r="I14" s="9">
        <v>3050.6494620747208</v>
      </c>
      <c r="J14" s="9">
        <v>2.4325678755055877</v>
      </c>
      <c r="K14" s="9">
        <v>77.63967891033154</v>
      </c>
      <c r="L14" s="9">
        <v>4877.0646416653626</v>
      </c>
      <c r="M14" s="9">
        <v>162.58924474960332</v>
      </c>
      <c r="N14" s="9">
        <v>497.5985946746784</v>
      </c>
      <c r="O14" s="9">
        <v>11007.55748485149</v>
      </c>
      <c r="P14" s="9">
        <v>4031.476498465548</v>
      </c>
      <c r="Q14" s="9">
        <v>41.216185210718791</v>
      </c>
      <c r="R14" s="9">
        <v>9745.4519225561253</v>
      </c>
      <c r="S14" s="9">
        <v>117.93404228850835</v>
      </c>
      <c r="T14" s="9">
        <v>5661.5417508583459</v>
      </c>
      <c r="U14" s="9">
        <v>112.93489461190053</v>
      </c>
      <c r="V14" s="9">
        <v>533.41557174412071</v>
      </c>
      <c r="W14" s="9">
        <v>1936.3319158127877</v>
      </c>
      <c r="X14" s="9">
        <v>228.57173400169097</v>
      </c>
      <c r="Y14" s="9">
        <v>700.58345549029423</v>
      </c>
      <c r="Z14" s="9">
        <v>806.49416749741908</v>
      </c>
      <c r="AA14" s="9">
        <v>371.27587889128284</v>
      </c>
      <c r="AB14" s="9">
        <v>2553.983600334213</v>
      </c>
      <c r="AC14" s="9">
        <v>2096.5558150248999</v>
      </c>
      <c r="AD14" s="9">
        <v>77.8</v>
      </c>
      <c r="AE14" s="9">
        <v>3662.8518827874295</v>
      </c>
      <c r="AF14" s="9">
        <v>4613.5736788319382</v>
      </c>
      <c r="AG14" s="9">
        <v>14992.916319429942</v>
      </c>
      <c r="AH14" s="9">
        <v>1532.6831869671612</v>
      </c>
      <c r="AI14" s="9">
        <v>116.2351048256085</v>
      </c>
      <c r="AJ14" s="9">
        <v>2915.1471304600122</v>
      </c>
      <c r="AK14" s="9">
        <v>6.3</v>
      </c>
      <c r="AL14" s="9">
        <v>50.119349633818949</v>
      </c>
      <c r="AM14" s="9">
        <v>3.5</v>
      </c>
      <c r="AN14" s="9">
        <v>807.93358462189201</v>
      </c>
      <c r="AO14" s="9">
        <v>2875.4618863815585</v>
      </c>
      <c r="AP14" s="9">
        <v>611.80456605646839</v>
      </c>
      <c r="AQ14" s="11">
        <v>4.3147694708499493</v>
      </c>
      <c r="AR14" s="9">
        <v>4480.4293871264172</v>
      </c>
      <c r="AS14" s="9">
        <v>59.643547732982192</v>
      </c>
      <c r="AT14" s="9">
        <v>1213.1590615904083</v>
      </c>
      <c r="AU14" s="9">
        <v>170.11576074511333</v>
      </c>
      <c r="AV14" s="9">
        <f t="shared" si="0"/>
        <v>109476.24519550827</v>
      </c>
    </row>
    <row r="15" spans="1:48" x14ac:dyDescent="0.3">
      <c r="A15" s="3">
        <f t="shared" si="1"/>
        <v>1811</v>
      </c>
      <c r="B15" s="9">
        <v>3774.0288520933636</v>
      </c>
      <c r="C15" s="9">
        <v>3015.9510512610468</v>
      </c>
      <c r="D15" s="9">
        <v>127.40409030462429</v>
      </c>
      <c r="E15" s="9">
        <v>90.944006561548832</v>
      </c>
      <c r="F15" s="9">
        <v>9311.4543052515455</v>
      </c>
      <c r="G15" s="9">
        <v>6250.6696145744627</v>
      </c>
      <c r="H15" s="9">
        <v>60.878072753743396</v>
      </c>
      <c r="I15" s="9">
        <v>3038.7512709024909</v>
      </c>
      <c r="J15" s="9">
        <v>2.4568935542606436</v>
      </c>
      <c r="K15" s="9">
        <v>77.7949582681522</v>
      </c>
      <c r="L15" s="9">
        <v>4909.0648227892907</v>
      </c>
      <c r="M15" s="9">
        <v>161.95511161151947</v>
      </c>
      <c r="N15" s="9">
        <v>497.5985946746784</v>
      </c>
      <c r="O15" s="9">
        <v>11007.55748485149</v>
      </c>
      <c r="P15" s="9">
        <v>4022.7594529147486</v>
      </c>
      <c r="Q15" s="9">
        <v>41.216185210718791</v>
      </c>
      <c r="R15" s="9">
        <v>9743.3583767622677</v>
      </c>
      <c r="S15" s="9">
        <v>117.90870736098034</v>
      </c>
      <c r="T15" s="9">
        <v>5659.775277740132</v>
      </c>
      <c r="U15" s="9">
        <v>113.07695295618831</v>
      </c>
      <c r="V15" s="9">
        <v>533.30098188872182</v>
      </c>
      <c r="W15" s="9">
        <v>1935.9159474646726</v>
      </c>
      <c r="X15" s="9">
        <v>228.52263156948808</v>
      </c>
      <c r="Y15" s="9">
        <v>701.28403894578446</v>
      </c>
      <c r="Z15" s="9">
        <v>806.49416749741908</v>
      </c>
      <c r="AA15" s="9">
        <v>371.19612034742153</v>
      </c>
      <c r="AB15" s="9">
        <v>2553.186724929441</v>
      </c>
      <c r="AC15" s="9">
        <v>2099.2266228820422</v>
      </c>
      <c r="AD15" s="9">
        <v>78.758460082026232</v>
      </c>
      <c r="AE15" s="9">
        <v>3666.5147346702165</v>
      </c>
      <c r="AF15" s="9">
        <v>4612.1341850966282</v>
      </c>
      <c r="AG15" s="9">
        <v>14989.695498358982</v>
      </c>
      <c r="AH15" s="9">
        <v>1532.6831869671612</v>
      </c>
      <c r="AI15" s="9">
        <v>117.04875055938776</v>
      </c>
      <c r="AJ15" s="9">
        <v>2914.23756743492</v>
      </c>
      <c r="AK15" s="9">
        <v>6.3</v>
      </c>
      <c r="AL15" s="9">
        <v>50.169468983452759</v>
      </c>
      <c r="AM15" s="9">
        <v>3.75</v>
      </c>
      <c r="AN15" s="9">
        <v>807.76002202353925</v>
      </c>
      <c r="AO15" s="9">
        <v>2879.0788672628505</v>
      </c>
      <c r="AP15" s="9">
        <v>612.58394547024272</v>
      </c>
      <c r="AQ15" s="11">
        <v>4.3147694708499493</v>
      </c>
      <c r="AR15" s="9">
        <v>4480.4293871264172</v>
      </c>
      <c r="AS15" s="9">
        <v>59.71857205267996</v>
      </c>
      <c r="AT15" s="9">
        <v>1214.3722206519985</v>
      </c>
      <c r="AU15" s="9">
        <v>170.45599226660357</v>
      </c>
      <c r="AV15" s="9">
        <f t="shared" si="0"/>
        <v>109453.7369464002</v>
      </c>
    </row>
    <row r="16" spans="1:48" x14ac:dyDescent="0.3">
      <c r="A16" s="3">
        <f t="shared" si="1"/>
        <v>1812</v>
      </c>
      <c r="B16" s="9">
        <v>3777.8028809454568</v>
      </c>
      <c r="C16" s="9">
        <v>3004.1881913782249</v>
      </c>
      <c r="D16" s="9">
        <v>127.56434913504479</v>
      </c>
      <c r="E16" s="9">
        <v>91.058403046704527</v>
      </c>
      <c r="F16" s="9">
        <v>9275.1376242324095</v>
      </c>
      <c r="G16" s="9">
        <v>6256.5388310438111</v>
      </c>
      <c r="H16" s="9">
        <v>61.61963489736624</v>
      </c>
      <c r="I16" s="9">
        <v>3026.8994852432284</v>
      </c>
      <c r="J16" s="9">
        <v>2.48146248980325</v>
      </c>
      <c r="K16" s="9">
        <v>77.9505481846885</v>
      </c>
      <c r="L16" s="9">
        <v>4942.2501958066978</v>
      </c>
      <c r="M16" s="9">
        <v>161.32345172950761</v>
      </c>
      <c r="N16" s="9">
        <v>497.5985946746784</v>
      </c>
      <c r="O16" s="9">
        <v>11007.55748485149</v>
      </c>
      <c r="P16" s="9">
        <v>4014.0612557643217</v>
      </c>
      <c r="Q16" s="9">
        <v>41.216185210718791</v>
      </c>
      <c r="R16" s="9">
        <v>9741.265280709893</v>
      </c>
      <c r="S16" s="9">
        <v>117.88337787597376</v>
      </c>
      <c r="T16" s="9">
        <v>5658.0093557840246</v>
      </c>
      <c r="U16" s="9">
        <v>113.21918999257343</v>
      </c>
      <c r="V16" s="9">
        <v>533.18641664984273</v>
      </c>
      <c r="W16" s="9">
        <v>1935.5000684760653</v>
      </c>
      <c r="X16" s="9">
        <v>228.47353968560981</v>
      </c>
      <c r="Y16" s="9">
        <v>701.98532298473015</v>
      </c>
      <c r="Z16" s="9">
        <v>806.49416749741908</v>
      </c>
      <c r="AA16" s="9">
        <v>371.11637893751822</v>
      </c>
      <c r="AB16" s="9">
        <v>2552.3900981599422</v>
      </c>
      <c r="AC16" s="9">
        <v>2101.9008330881984</v>
      </c>
      <c r="AD16" s="9">
        <v>79.728727949770189</v>
      </c>
      <c r="AE16" s="9">
        <v>3670.1812494048863</v>
      </c>
      <c r="AF16" s="9">
        <v>4610.6951405016935</v>
      </c>
      <c r="AG16" s="9">
        <v>14986.475369193997</v>
      </c>
      <c r="AH16" s="9">
        <v>1532.6831869671612</v>
      </c>
      <c r="AI16" s="9">
        <v>117.86809181330345</v>
      </c>
      <c r="AJ16" s="9">
        <v>2913.3282882050739</v>
      </c>
      <c r="AK16" s="9">
        <v>6.3</v>
      </c>
      <c r="AL16" s="9">
        <v>50.219638452436207</v>
      </c>
      <c r="AM16" s="9">
        <v>4</v>
      </c>
      <c r="AN16" s="9">
        <v>807.58649671039916</v>
      </c>
      <c r="AO16" s="9">
        <v>2882.700397865618</v>
      </c>
      <c r="AP16" s="9">
        <v>613.36431773746131</v>
      </c>
      <c r="AQ16" s="11">
        <v>4.3147694708499493</v>
      </c>
      <c r="AR16" s="9">
        <v>4480.4293871264172</v>
      </c>
      <c r="AS16" s="9">
        <v>59.793690743835498</v>
      </c>
      <c r="AT16" s="9">
        <v>1215.5865928726505</v>
      </c>
      <c r="AU16" s="9">
        <v>170.79690425113679</v>
      </c>
      <c r="AV16" s="9">
        <f t="shared" si="0"/>
        <v>109432.72485774264</v>
      </c>
    </row>
    <row r="17" spans="1:48" x14ac:dyDescent="0.3">
      <c r="A17" s="3">
        <f t="shared" si="1"/>
        <v>1813</v>
      </c>
      <c r="B17" s="9">
        <v>3781.5806838264016</v>
      </c>
      <c r="C17" s="9">
        <v>2992.4712091871397</v>
      </c>
      <c r="D17" s="9">
        <v>127.72480955155775</v>
      </c>
      <c r="E17" s="9">
        <v>91.172943428707427</v>
      </c>
      <c r="F17" s="9">
        <v>9238.9625861056738</v>
      </c>
      <c r="G17" s="9">
        <v>6262.4135585550293</v>
      </c>
      <c r="H17" s="9">
        <v>62.370230086681559</v>
      </c>
      <c r="I17" s="9">
        <v>3015.0939241054193</v>
      </c>
      <c r="J17" s="9">
        <v>2.5062771147012826</v>
      </c>
      <c r="K17" s="9">
        <v>78.106449281057877</v>
      </c>
      <c r="L17" s="9">
        <v>4974.2503769306268</v>
      </c>
      <c r="M17" s="9">
        <v>160.69425545733537</v>
      </c>
      <c r="N17" s="9">
        <v>497.5985946746784</v>
      </c>
      <c r="O17" s="9">
        <v>11007.55748485149</v>
      </c>
      <c r="P17" s="9">
        <v>4005.3818662593808</v>
      </c>
      <c r="Q17" s="9">
        <v>41.216185210718791</v>
      </c>
      <c r="R17" s="9">
        <v>9739.1726343023856</v>
      </c>
      <c r="S17" s="9">
        <v>117.85805383231944</v>
      </c>
      <c r="T17" s="9">
        <v>5656.2439848180538</v>
      </c>
      <c r="U17" s="9">
        <v>113.3616059458288</v>
      </c>
      <c r="V17" s="9">
        <v>533.07187602219517</v>
      </c>
      <c r="W17" s="9">
        <v>1935.0842788277689</v>
      </c>
      <c r="X17" s="9">
        <v>228.42445834779014</v>
      </c>
      <c r="Y17" s="9">
        <v>702.68730830771483</v>
      </c>
      <c r="Z17" s="9">
        <v>806.49416749741908</v>
      </c>
      <c r="AA17" s="9">
        <v>371.0366546578922</v>
      </c>
      <c r="AB17" s="9">
        <v>2551.5937199481396</v>
      </c>
      <c r="AC17" s="9">
        <v>2104.5784499776296</v>
      </c>
      <c r="AD17" s="9">
        <v>80.71094906970059</v>
      </c>
      <c r="AE17" s="9">
        <v>3673.8514306542907</v>
      </c>
      <c r="AF17" s="9">
        <v>4609.2565449069971</v>
      </c>
      <c r="AG17" s="9">
        <v>14983.255931786349</v>
      </c>
      <c r="AH17" s="9">
        <v>1532.6831869671612</v>
      </c>
      <c r="AI17" s="9">
        <v>118.69316845599656</v>
      </c>
      <c r="AJ17" s="9">
        <v>2912.419292681926</v>
      </c>
      <c r="AK17" s="9">
        <v>6.3</v>
      </c>
      <c r="AL17" s="9">
        <v>50.26985809088864</v>
      </c>
      <c r="AM17" s="9">
        <v>4.8732346236529969</v>
      </c>
      <c r="AN17" s="9">
        <v>807.41300867446205</v>
      </c>
      <c r="AO17" s="9">
        <v>2886.326483912856</v>
      </c>
      <c r="AP17" s="9">
        <v>614.14568412292272</v>
      </c>
      <c r="AQ17" s="11">
        <v>4.3147694708499493</v>
      </c>
      <c r="AR17" s="9">
        <v>4480.4293871264172</v>
      </c>
      <c r="AS17" s="9">
        <v>59.868903925156602</v>
      </c>
      <c r="AT17" s="9">
        <v>1216.8021794655231</v>
      </c>
      <c r="AU17" s="9">
        <v>171.13849805963906</v>
      </c>
      <c r="AV17" s="9">
        <f t="shared" si="0"/>
        <v>109411.46113910653</v>
      </c>
    </row>
    <row r="18" spans="1:48" x14ac:dyDescent="0.3">
      <c r="A18" s="3">
        <f t="shared" si="1"/>
        <v>1814</v>
      </c>
      <c r="B18" s="9">
        <v>3785.3622645102278</v>
      </c>
      <c r="C18" s="9">
        <v>2980.799925754894</v>
      </c>
      <c r="D18" s="9">
        <v>127.88547180773392</v>
      </c>
      <c r="E18" s="9">
        <v>91.287627888562241</v>
      </c>
      <c r="F18" s="9">
        <v>9202.9286384334937</v>
      </c>
      <c r="G18" s="9">
        <v>6268.2938022828439</v>
      </c>
      <c r="H18" s="9">
        <v>63.129968354159573</v>
      </c>
      <c r="I18" s="9">
        <v>3003.3344072034556</v>
      </c>
      <c r="J18" s="9">
        <v>2.5313398858482956</v>
      </c>
      <c r="K18" s="9">
        <v>78.262662179619994</v>
      </c>
      <c r="L18" s="9">
        <v>5007.4357499480338</v>
      </c>
      <c r="M18" s="9">
        <v>160.06751318639277</v>
      </c>
      <c r="N18" s="9">
        <v>497.5985946746784</v>
      </c>
      <c r="O18" s="9">
        <v>11007.55748485149</v>
      </c>
      <c r="P18" s="9">
        <v>3996.7212437331627</v>
      </c>
      <c r="Q18" s="9">
        <v>41.216185210718791</v>
      </c>
      <c r="R18" s="9">
        <v>9737.0804374431518</v>
      </c>
      <c r="S18" s="9">
        <v>117.83273522884845</v>
      </c>
      <c r="T18" s="9">
        <v>5654.4791646703043</v>
      </c>
      <c r="U18" s="9">
        <v>113.50420104101005</v>
      </c>
      <c r="V18" s="9">
        <v>532.95736000049214</v>
      </c>
      <c r="W18" s="9">
        <v>1934.6685785005914</v>
      </c>
      <c r="X18" s="9">
        <v>228.37538755376352</v>
      </c>
      <c r="Y18" s="9">
        <v>703.38999561602247</v>
      </c>
      <c r="Z18" s="9">
        <v>806.49416749741908</v>
      </c>
      <c r="AA18" s="9">
        <v>370.95694750486342</v>
      </c>
      <c r="AB18" s="9">
        <v>2550.7975902164799</v>
      </c>
      <c r="AC18" s="9">
        <v>2107.2594778901184</v>
      </c>
      <c r="AD18" s="9">
        <v>81.705270700365901</v>
      </c>
      <c r="AE18" s="9">
        <v>3677.5252820849446</v>
      </c>
      <c r="AF18" s="9">
        <v>4607.8183981724451</v>
      </c>
      <c r="AG18" s="9">
        <v>14980.037185987432</v>
      </c>
      <c r="AH18" s="9">
        <v>1532.6831869671612</v>
      </c>
      <c r="AI18" s="9">
        <v>119.52402063518852</v>
      </c>
      <c r="AJ18" s="9">
        <v>2911.510580776956</v>
      </c>
      <c r="AK18" s="9">
        <v>6.3</v>
      </c>
      <c r="AL18" s="9">
        <v>50.320127948979525</v>
      </c>
      <c r="AM18" s="9">
        <v>5.9371039242925914</v>
      </c>
      <c r="AN18" s="9">
        <v>807.23955790771993</v>
      </c>
      <c r="AO18" s="9">
        <v>2889.957131134759</v>
      </c>
      <c r="AP18" s="9">
        <v>614.92804589303671</v>
      </c>
      <c r="AQ18" s="11">
        <v>4.3147694708499493</v>
      </c>
      <c r="AR18" s="9">
        <v>4480.4293871264172</v>
      </c>
      <c r="AS18" s="9">
        <v>59.944211715500401</v>
      </c>
      <c r="AT18" s="9">
        <v>1218.0189816449883</v>
      </c>
      <c r="AU18" s="9">
        <v>171.48077505575833</v>
      </c>
      <c r="AV18" s="9">
        <f t="shared" si="0"/>
        <v>109391.88294021512</v>
      </c>
    </row>
    <row r="19" spans="1:48" x14ac:dyDescent="0.3">
      <c r="A19" s="3">
        <f t="shared" si="1"/>
        <v>1815</v>
      </c>
      <c r="B19" s="9">
        <v>3789.1476267747375</v>
      </c>
      <c r="C19" s="9">
        <v>2969.1741628464674</v>
      </c>
      <c r="D19" s="9">
        <v>128.04633615746303</v>
      </c>
      <c r="E19" s="9">
        <v>91.40245660750135</v>
      </c>
      <c r="F19" s="9">
        <v>9167.0352309326518</v>
      </c>
      <c r="G19" s="9">
        <v>6274.179567406838</v>
      </c>
      <c r="H19" s="9">
        <v>63.898961072587475</v>
      </c>
      <c r="I19" s="9">
        <v>2991.6207549548817</v>
      </c>
      <c r="J19" s="9">
        <v>2.5566532847067784</v>
      </c>
      <c r="K19" s="9">
        <v>78.419187503979231</v>
      </c>
      <c r="L19" s="9">
        <v>5040.6211229654409</v>
      </c>
      <c r="M19" s="9">
        <v>159.44321534554552</v>
      </c>
      <c r="N19" s="9">
        <v>497.5985946746784</v>
      </c>
      <c r="O19" s="9">
        <v>11007.55748485149</v>
      </c>
      <c r="P19" s="9">
        <v>3988.0793476068352</v>
      </c>
      <c r="Q19" s="9">
        <v>41.216185210718791</v>
      </c>
      <c r="R19" s="9">
        <v>9734.9886900356178</v>
      </c>
      <c r="S19" s="9">
        <v>117.80742206439211</v>
      </c>
      <c r="T19" s="9">
        <v>5652.7148951689132</v>
      </c>
      <c r="U19" s="9">
        <v>113.64697550345591</v>
      </c>
      <c r="V19" s="9">
        <v>532.84286857944767</v>
      </c>
      <c r="W19" s="9">
        <v>1934.2529674753446</v>
      </c>
      <c r="X19" s="9">
        <v>228.32632730126491</v>
      </c>
      <c r="Y19" s="9">
        <v>704.09338561163838</v>
      </c>
      <c r="Z19" s="9">
        <v>806.49416749741908</v>
      </c>
      <c r="AA19" s="9">
        <v>370.87725747475275</v>
      </c>
      <c r="AB19" s="9">
        <v>2550.0017088874342</v>
      </c>
      <c r="AC19" s="9">
        <v>2109.943921170976</v>
      </c>
      <c r="AD19" s="9">
        <v>82.711841914471933</v>
      </c>
      <c r="AE19" s="9">
        <v>3681.202807367029</v>
      </c>
      <c r="AF19" s="9">
        <v>4606.3807001579871</v>
      </c>
      <c r="AG19" s="9">
        <v>14976.819131648674</v>
      </c>
      <c r="AH19" s="9">
        <v>1532.6831869671612</v>
      </c>
      <c r="AI19" s="9">
        <v>120.36068877963483</v>
      </c>
      <c r="AJ19" s="9">
        <v>2910.6021524016714</v>
      </c>
      <c r="AK19" s="9">
        <v>6.3</v>
      </c>
      <c r="AL19" s="9">
        <v>50.370448076928497</v>
      </c>
      <c r="AM19" s="9">
        <v>7.7</v>
      </c>
      <c r="AN19" s="9">
        <v>807.06614440216651</v>
      </c>
      <c r="AO19" s="9">
        <v>2893.5923452687298</v>
      </c>
      <c r="AP19" s="9">
        <v>615.71140431582637</v>
      </c>
      <c r="AQ19" s="11">
        <v>4.3147694708499493</v>
      </c>
      <c r="AR19" s="9">
        <v>4480.4293871264172</v>
      </c>
      <c r="AS19" s="9">
        <v>60.019614233873519</v>
      </c>
      <c r="AT19" s="9">
        <v>1219.2370006266333</v>
      </c>
      <c r="AU19" s="9">
        <v>171.82373660586984</v>
      </c>
      <c r="AV19" s="9">
        <f t="shared" si="0"/>
        <v>109373.31283433107</v>
      </c>
    </row>
    <row r="20" spans="1:48" x14ac:dyDescent="0.3">
      <c r="A20" s="3">
        <f t="shared" si="1"/>
        <v>1816</v>
      </c>
      <c r="B20" s="9">
        <v>3792.9367744015117</v>
      </c>
      <c r="C20" s="9">
        <v>2957.5937429219944</v>
      </c>
      <c r="D20" s="9">
        <v>128.20740285495415</v>
      </c>
      <c r="E20" s="9">
        <v>91.517429766985117</v>
      </c>
      <c r="F20" s="9">
        <v>9131.2818154661545</v>
      </c>
      <c r="G20" s="9">
        <v>6280.0708591114599</v>
      </c>
      <c r="H20" s="9">
        <v>64.677320971395986</v>
      </c>
      <c r="I20" s="9">
        <v>2979.952788477653</v>
      </c>
      <c r="J20" s="9">
        <v>2.5822198175538462</v>
      </c>
      <c r="K20" s="9">
        <v>78.576025878987195</v>
      </c>
      <c r="L20" s="9">
        <v>5073.806495982848</v>
      </c>
      <c r="M20" s="9">
        <v>158.82135240098876</v>
      </c>
      <c r="N20" s="9">
        <v>497.5985946746784</v>
      </c>
      <c r="O20" s="9">
        <v>11007.55748485149</v>
      </c>
      <c r="P20" s="9">
        <v>3979.4561373893075</v>
      </c>
      <c r="Q20" s="9">
        <v>41.216185210718791</v>
      </c>
      <c r="R20" s="9">
        <v>9732.8973919832315</v>
      </c>
      <c r="S20" s="9">
        <v>117.78211433778201</v>
      </c>
      <c r="T20" s="9">
        <v>5650.9511761420727</v>
      </c>
      <c r="U20" s="9">
        <v>113.78992955878854</v>
      </c>
      <c r="V20" s="9">
        <v>532.72840175377701</v>
      </c>
      <c r="W20" s="9">
        <v>1933.8374457328443</v>
      </c>
      <c r="X20" s="9">
        <v>228.27727758802976</v>
      </c>
      <c r="Y20" s="9">
        <v>704.79747899724998</v>
      </c>
      <c r="Z20" s="9">
        <v>806.49416749741908</v>
      </c>
      <c r="AA20" s="9">
        <v>370.79758456388174</v>
      </c>
      <c r="AB20" s="9">
        <v>2549.2060758834973</v>
      </c>
      <c r="AC20" s="9">
        <v>2112.6317841710488</v>
      </c>
      <c r="AD20" s="9">
        <v>83.730813621231391</v>
      </c>
      <c r="AE20" s="9">
        <v>3684.8840101743958</v>
      </c>
      <c r="AF20" s="9">
        <v>4604.9434507236165</v>
      </c>
      <c r="AG20" s="9">
        <v>14973.601768621533</v>
      </c>
      <c r="AH20" s="9">
        <v>1532.6831869671612</v>
      </c>
      <c r="AI20" s="9">
        <v>121.20321360109226</v>
      </c>
      <c r="AJ20" s="9">
        <v>2909.6940074676077</v>
      </c>
      <c r="AK20" s="9">
        <v>6.3</v>
      </c>
      <c r="AL20" s="9">
        <v>50.420818525005423</v>
      </c>
      <c r="AM20" s="9">
        <v>7.5630786495230824</v>
      </c>
      <c r="AN20" s="9">
        <v>806.89276814979723</v>
      </c>
      <c r="AO20" s="9">
        <v>2897.2321320593869</v>
      </c>
      <c r="AP20" s="9">
        <v>616.49576066093016</v>
      </c>
      <c r="AQ20" s="11">
        <v>4.3147694708499493</v>
      </c>
      <c r="AR20" s="9">
        <v>4480.4293871264172</v>
      </c>
      <c r="AS20" s="9">
        <v>60.095111599432286</v>
      </c>
      <c r="AT20" s="9">
        <v>1220.4562376272597</v>
      </c>
      <c r="AU20" s="9">
        <v>172.16738407908159</v>
      </c>
      <c r="AV20" s="9">
        <f t="shared" si="0"/>
        <v>109353.15135751266</v>
      </c>
    </row>
    <row r="21" spans="1:48" x14ac:dyDescent="0.3">
      <c r="A21" s="3">
        <f t="shared" si="1"/>
        <v>1817</v>
      </c>
      <c r="B21" s="9">
        <v>3796.7297111759126</v>
      </c>
      <c r="C21" s="9">
        <v>2946.0584891340536</v>
      </c>
      <c r="D21" s="9">
        <v>128.36867215473612</v>
      </c>
      <c r="E21" s="9">
        <v>91.632547548702163</v>
      </c>
      <c r="F21" s="9">
        <v>9095.6678460348612</v>
      </c>
      <c r="G21" s="9">
        <v>6285.9676825860242</v>
      </c>
      <c r="H21" s="9">
        <v>65.46516215318475</v>
      </c>
      <c r="I21" s="9">
        <v>2968.330329587403</v>
      </c>
      <c r="J21" s="9">
        <v>2.6080420157293847</v>
      </c>
      <c r="K21" s="9">
        <v>78.733177930745171</v>
      </c>
      <c r="L21" s="9">
        <v>5106.9918690002542</v>
      </c>
      <c r="M21" s="9">
        <v>158.20191485610155</v>
      </c>
      <c r="N21" s="9">
        <v>497.5985946746784</v>
      </c>
      <c r="O21" s="9">
        <v>11007.55748485149</v>
      </c>
      <c r="P21" s="9">
        <v>3970.8515726770402</v>
      </c>
      <c r="Q21" s="9">
        <v>41.216185210718791</v>
      </c>
      <c r="R21" s="9">
        <v>9730.8065431894611</v>
      </c>
      <c r="S21" s="9">
        <v>117.75681204784995</v>
      </c>
      <c r="T21" s="9">
        <v>5649.1880074180272</v>
      </c>
      <c r="U21" s="9">
        <v>113.93306343291394</v>
      </c>
      <c r="V21" s="9">
        <v>532.61395951819645</v>
      </c>
      <c r="W21" s="9">
        <v>1933.4220132539106</v>
      </c>
      <c r="X21" s="9">
        <v>228.228238411794</v>
      </c>
      <c r="Y21" s="9">
        <v>705.50227647624718</v>
      </c>
      <c r="Z21" s="9">
        <v>806.49416749741908</v>
      </c>
      <c r="AA21" s="9">
        <v>370.71792876857285</v>
      </c>
      <c r="AB21" s="9">
        <v>2548.4106911271892</v>
      </c>
      <c r="AC21" s="9">
        <v>2115.3230712467262</v>
      </c>
      <c r="AD21" s="9">
        <v>84.76233858898884</v>
      </c>
      <c r="AE21" s="9">
        <v>3688.5688941845697</v>
      </c>
      <c r="AF21" s="9">
        <v>4603.506649729371</v>
      </c>
      <c r="AG21" s="9">
        <v>14970.385096757498</v>
      </c>
      <c r="AH21" s="9">
        <v>1532.6831869671612</v>
      </c>
      <c r="AI21" s="9">
        <v>122.05163609629989</v>
      </c>
      <c r="AJ21" s="9">
        <v>2908.7861458863272</v>
      </c>
      <c r="AK21" s="9">
        <v>6.3</v>
      </c>
      <c r="AL21" s="9">
        <v>50.471239343530421</v>
      </c>
      <c r="AM21" s="9">
        <v>7.4285920336197258</v>
      </c>
      <c r="AN21" s="9">
        <v>806.71942914260933</v>
      </c>
      <c r="AO21" s="9">
        <v>2900.8764972585759</v>
      </c>
      <c r="AP21" s="9">
        <v>617.28111619960384</v>
      </c>
      <c r="AQ21" s="11">
        <v>4.3147694708499493</v>
      </c>
      <c r="AR21" s="9">
        <v>4480.4293871264172</v>
      </c>
      <c r="AS21" s="9">
        <v>60.170703931482905</v>
      </c>
      <c r="AT21" s="9">
        <v>1221.6766938648868</v>
      </c>
      <c r="AU21" s="9">
        <v>172.51171884723976</v>
      </c>
      <c r="AV21" s="9">
        <f t="shared" si="0"/>
        <v>109333.30014940898</v>
      </c>
    </row>
    <row r="22" spans="1:48" x14ac:dyDescent="0.3">
      <c r="A22" s="3">
        <f t="shared" si="1"/>
        <v>1818</v>
      </c>
      <c r="B22" s="9">
        <v>3800.526440887088</v>
      </c>
      <c r="C22" s="9">
        <v>2934.568225324967</v>
      </c>
      <c r="D22" s="9">
        <v>128.53014431165795</v>
      </c>
      <c r="E22" s="9">
        <v>91.747810134569647</v>
      </c>
      <c r="F22" s="9">
        <v>9060.1927787691438</v>
      </c>
      <c r="G22" s="9">
        <v>6291.87004302472</v>
      </c>
      <c r="H22" s="9">
        <v>66.262600110449057</v>
      </c>
      <c r="I22" s="9">
        <v>2956.7532007947229</v>
      </c>
      <c r="J22" s="9">
        <v>2.6341224358866784</v>
      </c>
      <c r="K22" s="9">
        <v>78.890644286606658</v>
      </c>
      <c r="L22" s="9">
        <v>5140.1772420176612</v>
      </c>
      <c r="M22" s="9">
        <v>157.58489325130185</v>
      </c>
      <c r="N22" s="9">
        <v>497.5985946746784</v>
      </c>
      <c r="O22" s="9">
        <v>11007.55748485149</v>
      </c>
      <c r="P22" s="9">
        <v>3962.265613153857</v>
      </c>
      <c r="Q22" s="9">
        <v>41.216185210718791</v>
      </c>
      <c r="R22" s="9">
        <v>9728.7161435577946</v>
      </c>
      <c r="S22" s="9">
        <v>117.73151519342802</v>
      </c>
      <c r="T22" s="9">
        <v>5647.4253888250751</v>
      </c>
      <c r="U22" s="9">
        <v>114.07637735202223</v>
      </c>
      <c r="V22" s="9">
        <v>532.49954186742355</v>
      </c>
      <c r="W22" s="9">
        <v>1933.0066700193674</v>
      </c>
      <c r="X22" s="9">
        <v>228.17920977029399</v>
      </c>
      <c r="Y22" s="9">
        <v>706.20777875272336</v>
      </c>
      <c r="Z22" s="9">
        <v>806.49416749741908</v>
      </c>
      <c r="AA22" s="9">
        <v>370.63829008514921</v>
      </c>
      <c r="AB22" s="9">
        <v>2547.6155545410529</v>
      </c>
      <c r="AC22" s="9">
        <v>2118.0177867599468</v>
      </c>
      <c r="AD22" s="9">
        <v>85.806571468124289</v>
      </c>
      <c r="AE22" s="9">
        <v>3692.257463078754</v>
      </c>
      <c r="AF22" s="9">
        <v>4602.0702970353314</v>
      </c>
      <c r="AG22" s="9">
        <v>14967.169115908093</v>
      </c>
      <c r="AH22" s="9">
        <v>1532.6831869671612</v>
      </c>
      <c r="AI22" s="9">
        <v>122.90599754897397</v>
      </c>
      <c r="AJ22" s="9">
        <v>2907.8785675694207</v>
      </c>
      <c r="AK22" s="9">
        <v>6.3</v>
      </c>
      <c r="AL22" s="9">
        <v>50.521710582873943</v>
      </c>
      <c r="AM22" s="9">
        <v>7.3</v>
      </c>
      <c r="AN22" s="9">
        <v>806.54612737260163</v>
      </c>
      <c r="AO22" s="9">
        <v>2904.5254466253773</v>
      </c>
      <c r="AP22" s="9">
        <v>618.06747220472266</v>
      </c>
      <c r="AQ22" s="11">
        <v>4.3196586754918984</v>
      </c>
      <c r="AR22" s="9">
        <v>4480.4293871264172</v>
      </c>
      <c r="AS22" s="9">
        <v>60.246391349481662</v>
      </c>
      <c r="AT22" s="9">
        <v>1222.8983705587516</v>
      </c>
      <c r="AU22" s="9">
        <v>172.85674228493426</v>
      </c>
      <c r="AV22" s="9">
        <f t="shared" si="0"/>
        <v>109313.76695381776</v>
      </c>
    </row>
    <row r="23" spans="1:48" x14ac:dyDescent="0.3">
      <c r="A23" s="3">
        <f t="shared" si="1"/>
        <v>1819</v>
      </c>
      <c r="B23" s="9">
        <v>3804.3269673279747</v>
      </c>
      <c r="C23" s="9">
        <v>2923.1227760241086</v>
      </c>
      <c r="D23" s="9">
        <v>128.69181958088922</v>
      </c>
      <c r="E23" s="9">
        <v>91.863217706733565</v>
      </c>
      <c r="F23" s="9">
        <v>9024.8560719205834</v>
      </c>
      <c r="G23" s="9">
        <v>6297.7779456266135</v>
      </c>
      <c r="H23" s="9">
        <v>67.06975174251032</v>
      </c>
      <c r="I23" s="9">
        <v>2945.2212253024513</v>
      </c>
      <c r="J23" s="9">
        <v>2.6604636602455454</v>
      </c>
      <c r="K23" s="9">
        <v>79.048425575179877</v>
      </c>
      <c r="L23" s="9">
        <v>5174.5478069285473</v>
      </c>
      <c r="M23" s="9">
        <v>156.97027816390198</v>
      </c>
      <c r="N23" s="9">
        <v>497.5985946746784</v>
      </c>
      <c r="O23" s="9">
        <v>11007.55748485149</v>
      </c>
      <c r="P23" s="9">
        <v>3953.6982185907545</v>
      </c>
      <c r="Q23" s="9">
        <v>41.216185210718791</v>
      </c>
      <c r="R23" s="9">
        <v>9726.6261929917437</v>
      </c>
      <c r="S23" s="9">
        <v>117.70622377334855</v>
      </c>
      <c r="T23" s="9">
        <v>5645.6633201915683</v>
      </c>
      <c r="U23" s="9">
        <v>114.21987154258811</v>
      </c>
      <c r="V23" s="9">
        <v>532.38514879617696</v>
      </c>
      <c r="W23" s="9">
        <v>1932.5914160100433</v>
      </c>
      <c r="X23" s="9">
        <v>228.13019166126668</v>
      </c>
      <c r="Y23" s="9">
        <v>706.91398653147598</v>
      </c>
      <c r="Z23" s="9">
        <v>806.49416749741908</v>
      </c>
      <c r="AA23" s="9">
        <v>370.55866850993482</v>
      </c>
      <c r="AB23" s="9">
        <v>2546.8206660476567</v>
      </c>
      <c r="AC23" s="9">
        <v>2120.7159350782058</v>
      </c>
      <c r="AD23" s="9">
        <v>86.863668814239062</v>
      </c>
      <c r="AE23" s="9">
        <v>3695.9497205418324</v>
      </c>
      <c r="AF23" s="9">
        <v>4600.6343925016217</v>
      </c>
      <c r="AG23" s="9">
        <v>14963.953825924873</v>
      </c>
      <c r="AH23" s="9">
        <v>1532.6831869671612</v>
      </c>
      <c r="AI23" s="9">
        <v>123.76633953181678</v>
      </c>
      <c r="AJ23" s="9">
        <v>2906.9712724285059</v>
      </c>
      <c r="AK23" s="9">
        <v>6.3</v>
      </c>
      <c r="AL23" s="9">
        <v>50.572232293456814</v>
      </c>
      <c r="AM23" s="9">
        <v>7.1705130818505811</v>
      </c>
      <c r="AN23" s="9">
        <v>806.37286283177468</v>
      </c>
      <c r="AO23" s="9">
        <v>2908.1789859261157</v>
      </c>
      <c r="AP23" s="9">
        <v>618.85482995078337</v>
      </c>
      <c r="AQ23" s="11">
        <v>4.3245534202495337</v>
      </c>
      <c r="AR23" s="9">
        <v>4480.4293871264172</v>
      </c>
      <c r="AS23" s="9">
        <v>60.322173973035099</v>
      </c>
      <c r="AT23" s="9">
        <v>1224.1212689293102</v>
      </c>
      <c r="AU23" s="9">
        <v>173.20245576950413</v>
      </c>
      <c r="AV23" s="9">
        <f t="shared" si="0"/>
        <v>109295.72469153139</v>
      </c>
    </row>
    <row r="24" spans="1:48" x14ac:dyDescent="0.3">
      <c r="A24" s="3">
        <f t="shared" si="1"/>
        <v>1820</v>
      </c>
      <c r="B24" s="9">
        <v>3808.1312942953023</v>
      </c>
      <c r="C24" s="9">
        <v>2911.7219664452264</v>
      </c>
      <c r="D24" s="9">
        <v>128.85369821792048</v>
      </c>
      <c r="E24" s="9">
        <v>91.978770447569005</v>
      </c>
      <c r="F24" s="9">
        <v>8989.657185853699</v>
      </c>
      <c r="G24" s="9">
        <v>6303.6913955956506</v>
      </c>
      <c r="H24" s="9">
        <v>67.886735372652751</v>
      </c>
      <c r="I24" s="9">
        <v>2933.7342270029726</v>
      </c>
      <c r="J24" s="9">
        <v>2.6870682968480009</v>
      </c>
      <c r="K24" s="9">
        <v>79.206522426330238</v>
      </c>
      <c r="L24" s="9">
        <v>5207.7331799459544</v>
      </c>
      <c r="M24" s="9">
        <v>156.35806020796483</v>
      </c>
      <c r="N24" s="9">
        <v>497.5985946746784</v>
      </c>
      <c r="O24" s="9">
        <v>11007.55748485149</v>
      </c>
      <c r="P24" s="9">
        <v>3945.1493488457149</v>
      </c>
      <c r="Q24" s="9">
        <v>41.216185210718791</v>
      </c>
      <c r="R24" s="9">
        <v>9724.5366913948365</v>
      </c>
      <c r="S24" s="9">
        <v>117.68093778644413</v>
      </c>
      <c r="T24" s="9">
        <v>5643.9018013459126</v>
      </c>
      <c r="U24" s="9">
        <v>114.36354623137109</v>
      </c>
      <c r="V24" s="9">
        <v>532.27078029917641</v>
      </c>
      <c r="W24" s="9">
        <v>1932.1762512067705</v>
      </c>
      <c r="X24" s="9">
        <v>228.08118408244945</v>
      </c>
      <c r="Y24" s="9">
        <v>707.62090051800737</v>
      </c>
      <c r="Z24" s="9">
        <v>806.49416749741908</v>
      </c>
      <c r="AA24" s="9">
        <v>370.47906403925441</v>
      </c>
      <c r="AB24" s="9">
        <v>2546.0260255695921</v>
      </c>
      <c r="AC24" s="9">
        <v>2123.4175205745628</v>
      </c>
      <c r="AD24" s="9">
        <v>88</v>
      </c>
      <c r="AE24" s="9">
        <v>3699.6456702623741</v>
      </c>
      <c r="AF24" s="9">
        <v>4599.198935988411</v>
      </c>
      <c r="AG24" s="9">
        <v>14960.739226659422</v>
      </c>
      <c r="AH24" s="9">
        <v>1532.6831869671612</v>
      </c>
      <c r="AI24" s="9">
        <v>124.63270390853948</v>
      </c>
      <c r="AJ24" s="9">
        <v>2906.0642603752281</v>
      </c>
      <c r="AK24" s="9">
        <v>6.3</v>
      </c>
      <c r="AL24" s="9">
        <v>50.622804525750269</v>
      </c>
      <c r="AM24" s="9">
        <v>7.0433229941082622</v>
      </c>
      <c r="AN24" s="9">
        <v>806.19963551213084</v>
      </c>
      <c r="AO24" s="9">
        <v>2911.8371209343691</v>
      </c>
      <c r="AP24" s="9">
        <v>619.64319071390639</v>
      </c>
      <c r="AQ24" s="11">
        <v>4.3294537114005403</v>
      </c>
      <c r="AR24" s="9">
        <v>4480.4293871264172</v>
      </c>
      <c r="AS24" s="9">
        <v>60.398051921900212</v>
      </c>
      <c r="AT24" s="9">
        <v>1225.3453901982393</v>
      </c>
      <c r="AU24" s="9">
        <v>173.54886068104312</v>
      </c>
      <c r="AV24" s="9">
        <f t="shared" si="0"/>
        <v>109276.87179071692</v>
      </c>
    </row>
    <row r="25" spans="1:48" x14ac:dyDescent="0.3">
      <c r="A25" s="3">
        <f t="shared" si="1"/>
        <v>1821</v>
      </c>
      <c r="B25" s="9">
        <v>3811.9394255895972</v>
      </c>
      <c r="C25" s="9">
        <v>2899.9046612826855</v>
      </c>
      <c r="D25" s="9">
        <v>129.01376698222052</v>
      </c>
      <c r="E25" s="9">
        <v>92.093031259101778</v>
      </c>
      <c r="F25" s="9">
        <v>8953.1724103510587</v>
      </c>
      <c r="G25" s="9">
        <v>6309.6103981406659</v>
      </c>
      <c r="H25" s="9">
        <v>68.713670765468805</v>
      </c>
      <c r="I25" s="9">
        <v>2921.8275844643617</v>
      </c>
      <c r="J25" s="9">
        <v>2.713938979816481</v>
      </c>
      <c r="K25" s="9">
        <v>79.364935471182903</v>
      </c>
      <c r="L25" s="9">
        <v>5242.1037448568413</v>
      </c>
      <c r="M25" s="9">
        <v>155.72347664078578</v>
      </c>
      <c r="N25" s="9">
        <v>497.3622053490248</v>
      </c>
      <c r="O25" s="9">
        <v>11002.328231556194</v>
      </c>
      <c r="P25" s="9">
        <v>3936.6189638635169</v>
      </c>
      <c r="Q25" s="9">
        <v>41.196605038402701</v>
      </c>
      <c r="R25" s="9">
        <v>9722.4431412447138</v>
      </c>
      <c r="S25" s="9">
        <v>117.65560280619903</v>
      </c>
      <c r="T25" s="9">
        <v>5636.8024601903089</v>
      </c>
      <c r="U25" s="9">
        <v>114.50561457538761</v>
      </c>
      <c r="V25" s="9">
        <v>532.15619020533813</v>
      </c>
      <c r="W25" s="9">
        <v>1931.7602819931055</v>
      </c>
      <c r="X25" s="9">
        <v>228.03208154807388</v>
      </c>
      <c r="Y25" s="9">
        <v>708.32852141852527</v>
      </c>
      <c r="Z25" s="9">
        <v>806.11103415572848</v>
      </c>
      <c r="AA25" s="9">
        <v>370.39930532943094</v>
      </c>
      <c r="AB25" s="9">
        <v>2542.8234348827282</v>
      </c>
      <c r="AC25" s="9">
        <v>2126.1225476276477</v>
      </c>
      <c r="AD25" s="9">
        <v>87.5</v>
      </c>
      <c r="AE25" s="9">
        <v>3703.3453159326359</v>
      </c>
      <c r="AF25" s="9">
        <v>4593.4137038142289</v>
      </c>
      <c r="AG25" s="9">
        <v>14957.518398886554</v>
      </c>
      <c r="AH25" s="9">
        <v>1532.6831869671612</v>
      </c>
      <c r="AI25" s="9">
        <v>125.50513283589925</v>
      </c>
      <c r="AJ25" s="9">
        <v>2902.4087854341878</v>
      </c>
      <c r="AK25" s="9">
        <v>6.3</v>
      </c>
      <c r="AL25" s="9">
        <v>50.673427330276013</v>
      </c>
      <c r="AM25" s="9">
        <v>6.9183889957468896</v>
      </c>
      <c r="AN25" s="9">
        <v>806.02607255262774</v>
      </c>
      <c r="AO25" s="9">
        <v>2915.4543564211044</v>
      </c>
      <c r="AP25" s="9">
        <v>620.43255577183777</v>
      </c>
      <c r="AQ25" s="11">
        <v>4.3343595552297147</v>
      </c>
      <c r="AR25" s="9">
        <v>4478.3009131057988</v>
      </c>
      <c r="AS25" s="9">
        <v>60.473081522687586</v>
      </c>
      <c r="AT25" s="9">
        <v>1226.5707355884374</v>
      </c>
      <c r="AU25" s="9">
        <v>173.8959584024052</v>
      </c>
      <c r="AV25" s="9">
        <f t="shared" si="0"/>
        <v>109232.58163968491</v>
      </c>
    </row>
    <row r="26" spans="1:48" x14ac:dyDescent="0.3">
      <c r="A26" s="3">
        <f t="shared" si="1"/>
        <v>1822</v>
      </c>
      <c r="B26" s="9">
        <v>3815.7513650151864</v>
      </c>
      <c r="C26" s="9">
        <v>2888.1353169841677</v>
      </c>
      <c r="D26" s="9">
        <v>129.17403459226313</v>
      </c>
      <c r="E26" s="9">
        <v>92.207434011356185</v>
      </c>
      <c r="F26" s="9">
        <v>8916.83570933179</v>
      </c>
      <c r="G26" s="9">
        <v>6315.534958475384</v>
      </c>
      <c r="H26" s="9">
        <v>69.550679144415923</v>
      </c>
      <c r="I26" s="9">
        <v>2909.9692653680167</v>
      </c>
      <c r="J26" s="9">
        <v>2.7410783696146459</v>
      </c>
      <c r="K26" s="9">
        <v>79.52366534212527</v>
      </c>
      <c r="L26" s="9">
        <v>5277.6595016612055</v>
      </c>
      <c r="M26" s="9">
        <v>155.09146854878975</v>
      </c>
      <c r="N26" s="9">
        <v>497.1259283225495</v>
      </c>
      <c r="O26" s="9">
        <v>10997.101462471412</v>
      </c>
      <c r="P26" s="9">
        <v>3928.1070236755486</v>
      </c>
      <c r="Q26" s="9">
        <v>41.177034167848674</v>
      </c>
      <c r="R26" s="9">
        <v>9720.350041805239</v>
      </c>
      <c r="S26" s="9">
        <v>117.63027328020365</v>
      </c>
      <c r="T26" s="9">
        <v>5629.7120491413261</v>
      </c>
      <c r="U26" s="9">
        <v>114.64785940408861</v>
      </c>
      <c r="V26" s="9">
        <v>532.04162478106673</v>
      </c>
      <c r="W26" s="9">
        <v>1931.3444023315124</v>
      </c>
      <c r="X26" s="9">
        <v>227.98298958475391</v>
      </c>
      <c r="Y26" s="9">
        <v>709.03684993994375</v>
      </c>
      <c r="Z26" s="9">
        <v>805.72808282546885</v>
      </c>
      <c r="AA26" s="9">
        <v>370.31956379048813</v>
      </c>
      <c r="AB26" s="9">
        <v>2539.6248726649392</v>
      </c>
      <c r="AC26" s="9">
        <v>2128.8310206216684</v>
      </c>
      <c r="AD26" s="9">
        <v>87.6</v>
      </c>
      <c r="AE26" s="9">
        <v>3707.0486612485684</v>
      </c>
      <c r="AF26" s="9">
        <v>4587.6357487576006</v>
      </c>
      <c r="AG26" s="9">
        <v>14954.298264510675</v>
      </c>
      <c r="AH26" s="9">
        <v>1532.6831869671612</v>
      </c>
      <c r="AI26" s="9">
        <v>126.38366876575053</v>
      </c>
      <c r="AJ26" s="9">
        <v>2898.7579086354626</v>
      </c>
      <c r="AK26" s="9">
        <v>6.3</v>
      </c>
      <c r="AL26" s="9">
        <v>50.72410075760628</v>
      </c>
      <c r="AM26" s="9">
        <v>7</v>
      </c>
      <c r="AN26" s="9">
        <v>805.85254695868468</v>
      </c>
      <c r="AO26" s="9">
        <v>2919.0760854258569</v>
      </c>
      <c r="AP26" s="9">
        <v>621.22292640395119</v>
      </c>
      <c r="AQ26" s="11">
        <v>4.339270958028977</v>
      </c>
      <c r="AR26" s="9">
        <v>4476.1734502386362</v>
      </c>
      <c r="AS26" s="9">
        <v>60.548204329146593</v>
      </c>
      <c r="AT26" s="9">
        <v>1227.7973063240256</v>
      </c>
      <c r="AU26" s="9">
        <v>174.24375031921002</v>
      </c>
      <c r="AV26" s="9">
        <f t="shared" si="0"/>
        <v>109190.62063625273</v>
      </c>
    </row>
    <row r="27" spans="1:48" x14ac:dyDescent="0.3">
      <c r="A27" s="3">
        <f t="shared" si="1"/>
        <v>1823</v>
      </c>
      <c r="B27" s="9">
        <v>3819.5671163802012</v>
      </c>
      <c r="C27" s="9">
        <v>2876.4137388991626</v>
      </c>
      <c r="D27" s="9">
        <v>129.33450129506483</v>
      </c>
      <c r="E27" s="9">
        <v>92.321978880658364</v>
      </c>
      <c r="F27" s="9">
        <v>8880.6464818314525</v>
      </c>
      <c r="G27" s="9">
        <v>6321.4650818184255</v>
      </c>
      <c r="H27" s="9">
        <v>70.397883209587093</v>
      </c>
      <c r="I27" s="9">
        <v>2898.1590735918935</v>
      </c>
      <c r="J27" s="9">
        <v>2.7684891533107923</v>
      </c>
      <c r="K27" s="9">
        <v>79.682712672809515</v>
      </c>
      <c r="L27" s="9">
        <v>5312.0300665720915</v>
      </c>
      <c r="M27" s="9">
        <v>154.46202547933859</v>
      </c>
      <c r="N27" s="9">
        <v>496.88976354190356</v>
      </c>
      <c r="O27" s="9">
        <v>10991.877176416992</v>
      </c>
      <c r="P27" s="9">
        <v>3919.6134883996197</v>
      </c>
      <c r="Q27" s="9">
        <v>41.157472594637809</v>
      </c>
      <c r="R27" s="9">
        <v>9718.2573929793798</v>
      </c>
      <c r="S27" s="9">
        <v>117.60494920728379</v>
      </c>
      <c r="T27" s="9">
        <v>5622.630556965978</v>
      </c>
      <c r="U27" s="9">
        <v>114.79028093671252</v>
      </c>
      <c r="V27" s="9">
        <v>531.9270840210512</v>
      </c>
      <c r="W27" s="9">
        <v>1930.928612202712</v>
      </c>
      <c r="X27" s="9">
        <v>227.93390819021377</v>
      </c>
      <c r="Y27" s="9">
        <v>709.74588678988357</v>
      </c>
      <c r="Z27" s="9">
        <v>805.34531342017385</v>
      </c>
      <c r="AA27" s="9">
        <v>370.23983941872933</v>
      </c>
      <c r="AB27" s="9">
        <v>2536.4303338489012</v>
      </c>
      <c r="AC27" s="9">
        <v>2131.5429439464178</v>
      </c>
      <c r="AD27" s="9">
        <v>83.6</v>
      </c>
      <c r="AE27" s="9">
        <v>3710.7557099098167</v>
      </c>
      <c r="AF27" s="9">
        <v>4581.8650616647974</v>
      </c>
      <c r="AG27" s="9">
        <v>14951.078823382508</v>
      </c>
      <c r="AH27" s="9">
        <v>1532.6831869671612</v>
      </c>
      <c r="AI27" s="9">
        <v>127.26835444711077</v>
      </c>
      <c r="AJ27" s="9">
        <v>2895.1116241951486</v>
      </c>
      <c r="AK27" s="9">
        <v>6.3</v>
      </c>
      <c r="AL27" s="9">
        <v>50.774824858363878</v>
      </c>
      <c r="AM27" s="9">
        <v>6.9</v>
      </c>
      <c r="AN27" s="9">
        <v>805.67905872225742</v>
      </c>
      <c r="AO27" s="9">
        <v>2922.7023135307086</v>
      </c>
      <c r="AP27" s="9">
        <v>622.01430389125028</v>
      </c>
      <c r="AQ27" s="11">
        <v>4.3441879260973755</v>
      </c>
      <c r="AR27" s="9">
        <v>4474.0469980445696</v>
      </c>
      <c r="AS27" s="9">
        <v>60.623420457062153</v>
      </c>
      <c r="AT27" s="9">
        <v>1229.0251036303496</v>
      </c>
      <c r="AU27" s="9">
        <v>174.59223781984844</v>
      </c>
      <c r="AV27" s="9">
        <f t="shared" si="0"/>
        <v>109143.52936211164</v>
      </c>
    </row>
    <row r="28" spans="1:48" x14ac:dyDescent="0.3">
      <c r="A28" s="3">
        <f t="shared" si="1"/>
        <v>1824</v>
      </c>
      <c r="B28" s="9">
        <v>3823.3866834965811</v>
      </c>
      <c r="C28" s="9">
        <v>2864.7397331671541</v>
      </c>
      <c r="D28" s="9">
        <v>129.49516733794897</v>
      </c>
      <c r="E28" s="9">
        <v>92.436666043553515</v>
      </c>
      <c r="F28" s="9">
        <v>8844.6041293246417</v>
      </c>
      <c r="G28" s="9">
        <v>6327.4007733933104</v>
      </c>
      <c r="H28" s="9">
        <v>71.255407155697924</v>
      </c>
      <c r="I28" s="9">
        <v>2886.3968138099153</v>
      </c>
      <c r="J28" s="9">
        <v>2.7961740448439003</v>
      </c>
      <c r="K28" s="9">
        <v>79.842078098155127</v>
      </c>
      <c r="L28" s="9">
        <v>5346.4006314829776</v>
      </c>
      <c r="M28" s="9">
        <v>153.83513702221646</v>
      </c>
      <c r="N28" s="9">
        <v>496.65371095376344</v>
      </c>
      <c r="O28" s="9">
        <v>10986.655372213347</v>
      </c>
      <c r="P28" s="9">
        <v>3911.1383182397758</v>
      </c>
      <c r="Q28" s="9">
        <v>41.137920314353309</v>
      </c>
      <c r="R28" s="9">
        <v>9716.1651946701277</v>
      </c>
      <c r="S28" s="9">
        <v>117.57963058626549</v>
      </c>
      <c r="T28" s="9">
        <v>5615.5579724454064</v>
      </c>
      <c r="U28" s="9">
        <v>114.93287939277016</v>
      </c>
      <c r="V28" s="9">
        <v>531.81256791998169</v>
      </c>
      <c r="W28" s="9">
        <v>1930.5129115874292</v>
      </c>
      <c r="X28" s="9">
        <v>227.88483736217813</v>
      </c>
      <c r="Y28" s="9">
        <v>710.45563267667342</v>
      </c>
      <c r="Z28" s="9">
        <v>804.96272585341808</v>
      </c>
      <c r="AA28" s="9">
        <v>370.1601322104587</v>
      </c>
      <c r="AB28" s="9">
        <v>2533.2398133736651</v>
      </c>
      <c r="AC28" s="9">
        <v>2134.2583219972812</v>
      </c>
      <c r="AD28" s="9">
        <v>88.6</v>
      </c>
      <c r="AE28" s="9">
        <v>3714.466465619726</v>
      </c>
      <c r="AF28" s="9">
        <v>4576.1016333936068</v>
      </c>
      <c r="AG28" s="9">
        <v>14947.860075352806</v>
      </c>
      <c r="AH28" s="9">
        <v>1532.6831869671612</v>
      </c>
      <c r="AI28" s="9">
        <v>128.15923292824053</v>
      </c>
      <c r="AJ28" s="9">
        <v>2891.4699263366188</v>
      </c>
      <c r="AK28" s="9">
        <v>6.3</v>
      </c>
      <c r="AL28" s="9">
        <v>50.825599683222237</v>
      </c>
      <c r="AM28" s="9">
        <v>6.8</v>
      </c>
      <c r="AN28" s="9">
        <v>805.50560783530352</v>
      </c>
      <c r="AO28" s="9">
        <v>2926.3330463246753</v>
      </c>
      <c r="AP28" s="9">
        <v>622.8066895163704</v>
      </c>
      <c r="AQ28" s="11">
        <v>4.3491104657410959</v>
      </c>
      <c r="AR28" s="9">
        <v>4471.9215560434686</v>
      </c>
      <c r="AS28" s="9">
        <v>60.698730022363037</v>
      </c>
      <c r="AT28" s="9">
        <v>1230.2541287339798</v>
      </c>
      <c r="AU28" s="9">
        <v>174.94142229548814</v>
      </c>
      <c r="AV28" s="9">
        <f t="shared" si="0"/>
        <v>109105.77374769271</v>
      </c>
    </row>
    <row r="29" spans="1:48" x14ac:dyDescent="0.3">
      <c r="A29" s="3">
        <f t="shared" si="1"/>
        <v>1825</v>
      </c>
      <c r="B29" s="9">
        <v>3827.2100701800773</v>
      </c>
      <c r="C29" s="9">
        <v>2853.1131067144156</v>
      </c>
      <c r="D29" s="9">
        <v>129.65603296854621</v>
      </c>
      <c r="E29" s="9">
        <v>92.551495676806127</v>
      </c>
      <c r="F29" s="9">
        <v>8808.7080557150803</v>
      </c>
      <c r="G29" s="9">
        <v>6333.3420384284636</v>
      </c>
      <c r="H29" s="9">
        <v>72.123376690292773</v>
      </c>
      <c r="I29" s="9">
        <v>2874.6822914887407</v>
      </c>
      <c r="J29" s="9">
        <v>2.8241357852923392</v>
      </c>
      <c r="K29" s="9">
        <v>80.001762254351434</v>
      </c>
      <c r="L29" s="9">
        <v>5381.9563882873417</v>
      </c>
      <c r="M29" s="9">
        <v>153.21079280945764</v>
      </c>
      <c r="N29" s="9">
        <v>496.41777050483097</v>
      </c>
      <c r="O29" s="9">
        <v>10981.436048681448</v>
      </c>
      <c r="P29" s="9">
        <v>3902.6814734861105</v>
      </c>
      <c r="Q29" s="9">
        <v>41.118377322580479</v>
      </c>
      <c r="R29" s="9">
        <v>9714.0734467804905</v>
      </c>
      <c r="S29" s="9">
        <v>117.55431741597502</v>
      </c>
      <c r="T29" s="9">
        <v>5608.4942843748677</v>
      </c>
      <c r="U29" s="9">
        <v>115.07565499204502</v>
      </c>
      <c r="V29" s="9">
        <v>531.69807647254947</v>
      </c>
      <c r="W29" s="9">
        <v>1930.0973004663931</v>
      </c>
      <c r="X29" s="9">
        <v>227.8357770983722</v>
      </c>
      <c r="Y29" s="9">
        <v>711.16608830935002</v>
      </c>
      <c r="Z29" s="9">
        <v>804.58032003881738</v>
      </c>
      <c r="AA29" s="9">
        <v>370.08044216198118</v>
      </c>
      <c r="AB29" s="9">
        <v>2530.0533061846477</v>
      </c>
      <c r="AC29" s="9">
        <v>2136.9771591752433</v>
      </c>
      <c r="AD29" s="9">
        <v>83.7</v>
      </c>
      <c r="AE29" s="9">
        <v>3718.1809320853454</v>
      </c>
      <c r="AF29" s="9">
        <v>4570.345454813315</v>
      </c>
      <c r="AG29" s="9">
        <v>14944.642020272357</v>
      </c>
      <c r="AH29" s="9">
        <v>1532.6831869671612</v>
      </c>
      <c r="AI29" s="9">
        <v>129.0563475587382</v>
      </c>
      <c r="AJ29" s="9">
        <v>2887.8328092905112</v>
      </c>
      <c r="AK29" s="9">
        <v>6.3</v>
      </c>
      <c r="AL29" s="9">
        <v>50.876425282905451</v>
      </c>
      <c r="AM29" s="9">
        <v>7</v>
      </c>
      <c r="AN29" s="9">
        <v>805.33219428978214</v>
      </c>
      <c r="AO29" s="9">
        <v>2929.9682894037164</v>
      </c>
      <c r="AP29" s="9">
        <v>623.60008456358094</v>
      </c>
      <c r="AQ29" s="11">
        <v>4.3540385832734705</v>
      </c>
      <c r="AR29" s="9">
        <v>4469.7971237554311</v>
      </c>
      <c r="AS29" s="9">
        <v>60.774133141122029</v>
      </c>
      <c r="AT29" s="9">
        <v>1231.4843828627136</v>
      </c>
      <c r="AU29" s="9">
        <v>175.29130514007912</v>
      </c>
      <c r="AV29" s="9">
        <f t="shared" si="0"/>
        <v>109059.93811847462</v>
      </c>
    </row>
    <row r="30" spans="1:48" x14ac:dyDescent="0.3">
      <c r="A30" s="3">
        <f t="shared" si="1"/>
        <v>1826</v>
      </c>
      <c r="B30" s="9">
        <v>3831.037280250257</v>
      </c>
      <c r="C30" s="9">
        <v>2841.5336672508151</v>
      </c>
      <c r="D30" s="9">
        <v>129.81709843479476</v>
      </c>
      <c r="E30" s="9">
        <v>92.666467957400286</v>
      </c>
      <c r="F30" s="9">
        <v>8772.9576673257652</v>
      </c>
      <c r="G30" s="9">
        <v>6339.2888821572196</v>
      </c>
      <c r="H30" s="9">
        <v>73.001919052172696</v>
      </c>
      <c r="I30" s="9">
        <v>2863.0153128845482</v>
      </c>
      <c r="J30" s="9">
        <v>2.8523771431452625</v>
      </c>
      <c r="K30" s="9">
        <v>80.161765778860143</v>
      </c>
      <c r="L30" s="9">
        <v>5417.5121450917068</v>
      </c>
      <c r="M30" s="9">
        <v>152.58898251517513</v>
      </c>
      <c r="N30" s="9">
        <v>496.18194214183325</v>
      </c>
      <c r="O30" s="9">
        <v>10976.219204642824</v>
      </c>
      <c r="P30" s="9">
        <v>3894.2429145145802</v>
      </c>
      <c r="Q30" s="9">
        <v>41.098843614906706</v>
      </c>
      <c r="R30" s="9">
        <v>9711.9821492135015</v>
      </c>
      <c r="S30" s="9">
        <v>117.52900969523893</v>
      </c>
      <c r="T30" s="9">
        <v>5601.4394815637106</v>
      </c>
      <c r="U30" s="9">
        <v>115.21860795459361</v>
      </c>
      <c r="V30" s="9">
        <v>531.58360967344697</v>
      </c>
      <c r="W30" s="9">
        <v>1929.6817788203368</v>
      </c>
      <c r="X30" s="9">
        <v>227.78672739652166</v>
      </c>
      <c r="Y30" s="9">
        <v>711.87725439765927</v>
      </c>
      <c r="Z30" s="9">
        <v>804.19809589002841</v>
      </c>
      <c r="AA30" s="9">
        <v>370.00076926960253</v>
      </c>
      <c r="AB30" s="9">
        <v>2526.8708072336235</v>
      </c>
      <c r="AC30" s="9">
        <v>2139.6994598868946</v>
      </c>
      <c r="AD30" s="9">
        <v>92.8</v>
      </c>
      <c r="AE30" s="9">
        <v>3721.8991130174304</v>
      </c>
      <c r="AF30" s="9">
        <v>4564.5965168046941</v>
      </c>
      <c r="AG30" s="9">
        <v>14941.424657991976</v>
      </c>
      <c r="AH30" s="9">
        <v>1532.6831869671612</v>
      </c>
      <c r="AI30" s="9">
        <v>129.95974199164934</v>
      </c>
      <c r="AJ30" s="9">
        <v>2884.2002672947224</v>
      </c>
      <c r="AK30" s="9">
        <v>6.3</v>
      </c>
      <c r="AL30" s="9">
        <v>50.927301708188352</v>
      </c>
      <c r="AM30" s="9">
        <v>7.1</v>
      </c>
      <c r="AN30" s="9">
        <v>805.15881807765413</v>
      </c>
      <c r="AO30" s="9">
        <v>2933.6080483707424</v>
      </c>
      <c r="AP30" s="9">
        <v>624.39449031878723</v>
      </c>
      <c r="AQ30" s="11">
        <v>4.3589722850149846</v>
      </c>
      <c r="AR30" s="9">
        <v>4467.6737007007823</v>
      </c>
      <c r="AS30" s="9">
        <v>60.849629929556095</v>
      </c>
      <c r="AT30" s="9">
        <v>1232.7158672455762</v>
      </c>
      <c r="AU30" s="9">
        <v>175.64188775035927</v>
      </c>
      <c r="AV30" s="9">
        <f t="shared" si="0"/>
        <v>109028.33642220547</v>
      </c>
    </row>
    <row r="31" spans="1:48" x14ac:dyDescent="0.3">
      <c r="A31" s="3">
        <f t="shared" si="1"/>
        <v>1827</v>
      </c>
      <c r="B31" s="9">
        <v>3834.8683175305068</v>
      </c>
      <c r="C31" s="9">
        <v>2830.001223266635</v>
      </c>
      <c r="D31" s="9">
        <v>129.97836398494087</v>
      </c>
      <c r="E31" s="9">
        <v>92.781583062539937</v>
      </c>
      <c r="F31" s="9">
        <v>8737.3523728891505</v>
      </c>
      <c r="G31" s="9">
        <v>6345.2413098178276</v>
      </c>
      <c r="H31" s="9">
        <v>74</v>
      </c>
      <c r="I31" s="9">
        <v>2851.3956850398304</v>
      </c>
      <c r="J31" s="9">
        <v>2.8809009145767153</v>
      </c>
      <c r="K31" s="9">
        <v>80.322089310417866</v>
      </c>
      <c r="L31" s="9">
        <v>5453.0679018960718</v>
      </c>
      <c r="M31" s="9">
        <v>151.9696958553898</v>
      </c>
      <c r="N31" s="9">
        <v>495.94622581152271</v>
      </c>
      <c r="O31" s="9">
        <v>10971.004838919569</v>
      </c>
      <c r="P31" s="9">
        <v>3885.8226017868187</v>
      </c>
      <c r="Q31" s="9">
        <v>41.079319186921488</v>
      </c>
      <c r="R31" s="9">
        <v>9709.8913018722124</v>
      </c>
      <c r="S31" s="9">
        <v>117.50370742288399</v>
      </c>
      <c r="T31" s="9">
        <v>5594.3935528353604</v>
      </c>
      <c r="U31" s="9">
        <v>115.3617385007458</v>
      </c>
      <c r="V31" s="9">
        <v>531.46916751736774</v>
      </c>
      <c r="W31" s="9">
        <v>1929.2663466299978</v>
      </c>
      <c r="X31" s="9">
        <v>227.73768825435266</v>
      </c>
      <c r="Y31" s="9">
        <v>712.58913165205684</v>
      </c>
      <c r="Z31" s="9">
        <v>803.81605332074901</v>
      </c>
      <c r="AA31" s="9">
        <v>369.92111352962928</v>
      </c>
      <c r="AB31" s="9">
        <v>2523.6923114787169</v>
      </c>
      <c r="AC31" s="9">
        <v>2142.42522854444</v>
      </c>
      <c r="AD31" s="9">
        <v>92.5</v>
      </c>
      <c r="AE31" s="9">
        <v>3725.6210121304475</v>
      </c>
      <c r="AF31" s="9">
        <v>4558.8548102599862</v>
      </c>
      <c r="AG31" s="9">
        <v>14938.207988362516</v>
      </c>
      <c r="AH31" s="9">
        <v>1532.6831869671612</v>
      </c>
      <c r="AI31" s="9">
        <v>130.86946018559087</v>
      </c>
      <c r="AJ31" s="9">
        <v>2880.5722945943958</v>
      </c>
      <c r="AK31" s="9">
        <v>6.3</v>
      </c>
      <c r="AL31" s="9">
        <v>50.978229009896538</v>
      </c>
      <c r="AM31" s="9">
        <v>7.7</v>
      </c>
      <c r="AN31" s="9">
        <v>804.98547919088219</v>
      </c>
      <c r="AO31" s="9">
        <v>2937.2523288356242</v>
      </c>
      <c r="AP31" s="9">
        <v>625.18990806953286</v>
      </c>
      <c r="AQ31" s="11">
        <v>4.3639115772932859</v>
      </c>
      <c r="AR31" s="9">
        <v>4465.5512864000757</v>
      </c>
      <c r="AS31" s="9">
        <v>60.925220504026576</v>
      </c>
      <c r="AT31" s="9">
        <v>1233.9485831128216</v>
      </c>
      <c r="AU31" s="9">
        <v>175.99317152585999</v>
      </c>
      <c r="AV31" s="9">
        <f t="shared" si="0"/>
        <v>108988.27664155739</v>
      </c>
    </row>
    <row r="32" spans="1:48" x14ac:dyDescent="0.3">
      <c r="A32" s="3">
        <f t="shared" si="1"/>
        <v>1828</v>
      </c>
      <c r="B32" s="9">
        <v>3838.7031858480368</v>
      </c>
      <c r="C32" s="9">
        <v>2818.515584029406</v>
      </c>
      <c r="D32" s="9">
        <v>130.13982986753916</v>
      </c>
      <c r="E32" s="9">
        <v>92.896841169649164</v>
      </c>
      <c r="F32" s="9">
        <v>8701.8915835373646</v>
      </c>
      <c r="G32" s="9">
        <v>6351.1993266534537</v>
      </c>
      <c r="H32" s="9">
        <v>74.739999999999995</v>
      </c>
      <c r="I32" s="9">
        <v>2839.8232157802036</v>
      </c>
      <c r="J32" s="9">
        <v>2.9097099237224824</v>
      </c>
      <c r="K32" s="9">
        <v>80.482733489038708</v>
      </c>
      <c r="L32" s="9">
        <v>5488.6236587004369</v>
      </c>
      <c r="M32" s="9">
        <v>151.35292258786038</v>
      </c>
      <c r="N32" s="9">
        <v>495.71062146067709</v>
      </c>
      <c r="O32" s="9">
        <v>10965.792950334333</v>
      </c>
      <c r="P32" s="9">
        <v>3877.4204958499504</v>
      </c>
      <c r="Q32" s="9">
        <v>41.05980403421642</v>
      </c>
      <c r="R32" s="9">
        <v>9707.8009046596962</v>
      </c>
      <c r="S32" s="9">
        <v>117.47841059773727</v>
      </c>
      <c r="T32" s="9">
        <v>5587.3564870273021</v>
      </c>
      <c r="U32" s="9">
        <v>115.50504685110519</v>
      </c>
      <c r="V32" s="9">
        <v>531.35474999900657</v>
      </c>
      <c r="W32" s="9">
        <v>1928.8510038761176</v>
      </c>
      <c r="X32" s="9">
        <v>227.68865966959189</v>
      </c>
      <c r="Y32" s="9">
        <v>713.30172078370879</v>
      </c>
      <c r="Z32" s="9">
        <v>803.43419224471791</v>
      </c>
      <c r="AA32" s="9">
        <v>369.84147493836883</v>
      </c>
      <c r="AB32" s="9">
        <v>2520.5178138843949</v>
      </c>
      <c r="AC32" s="9">
        <v>2145.1544695657044</v>
      </c>
      <c r="AD32" s="9">
        <v>92.7</v>
      </c>
      <c r="AE32" s="9">
        <v>3729.3466331425775</v>
      </c>
      <c r="AF32" s="9">
        <v>4553.1203260828906</v>
      </c>
      <c r="AG32" s="9">
        <v>14934.992011234857</v>
      </c>
      <c r="AH32" s="9">
        <v>1532.6831869671612</v>
      </c>
      <c r="AI32" s="9">
        <v>131.78554640688998</v>
      </c>
      <c r="AJ32" s="9">
        <v>2876.9488854419137</v>
      </c>
      <c r="AK32" s="9">
        <v>6.3</v>
      </c>
      <c r="AL32" s="9">
        <v>51.02920723890643</v>
      </c>
      <c r="AM32" s="9">
        <v>7.5272775852011105</v>
      </c>
      <c r="AN32" s="9">
        <v>804.81217762143081</v>
      </c>
      <c r="AO32" s="9">
        <v>2940.9011364152016</v>
      </c>
      <c r="AP32" s="9">
        <v>625.98633910500155</v>
      </c>
      <c r="AQ32" s="11">
        <v>4.3688564664431926</v>
      </c>
      <c r="AR32" s="9">
        <v>4463.429880374093</v>
      </c>
      <c r="AS32" s="9">
        <v>61.000904981039362</v>
      </c>
      <c r="AT32" s="9">
        <v>1235.1825316959341</v>
      </c>
      <c r="AU32" s="9">
        <v>176.34515786891171</v>
      </c>
      <c r="AV32" s="9">
        <f t="shared" si="0"/>
        <v>108948.00745599178</v>
      </c>
    </row>
    <row r="33" spans="1:48" x14ac:dyDescent="0.3">
      <c r="A33" s="3">
        <f t="shared" si="1"/>
        <v>1829</v>
      </c>
      <c r="B33" s="9">
        <v>3842.5418890338842</v>
      </c>
      <c r="C33" s="9">
        <v>2807.0765595807511</v>
      </c>
      <c r="D33" s="9">
        <v>130.30149633145302</v>
      </c>
      <c r="E33" s="9">
        <v>93.012242456372448</v>
      </c>
      <c r="F33" s="9">
        <v>8666.5747127924733</v>
      </c>
      <c r="G33" s="9">
        <v>6357.1629379121887</v>
      </c>
      <c r="H33" s="9">
        <v>75.487399999999994</v>
      </c>
      <c r="I33" s="9">
        <v>2828.2977137112293</v>
      </c>
      <c r="J33" s="9">
        <v>2.9388070229597072</v>
      </c>
      <c r="K33" s="9">
        <v>80.643698956016792</v>
      </c>
      <c r="L33" s="9">
        <v>5525.36460739828</v>
      </c>
      <c r="M33" s="9">
        <v>150.73865251191395</v>
      </c>
      <c r="N33" s="9">
        <v>495.47512903609936</v>
      </c>
      <c r="O33" s="9">
        <v>10960.583537710327</v>
      </c>
      <c r="P33" s="9">
        <v>3869.0365573364079</v>
      </c>
      <c r="Q33" s="9">
        <v>41.040298152385176</v>
      </c>
      <c r="R33" s="9">
        <v>9705.7109574790466</v>
      </c>
      <c r="S33" s="9">
        <v>117.45311921862604</v>
      </c>
      <c r="T33" s="9">
        <v>5580.3282729910616</v>
      </c>
      <c r="U33" s="9">
        <v>115.64853322654942</v>
      </c>
      <c r="V33" s="9">
        <v>531.2403571130593</v>
      </c>
      <c r="W33" s="9">
        <v>1928.4357505394416</v>
      </c>
      <c r="X33" s="9">
        <v>227.63964163996644</v>
      </c>
      <c r="Y33" s="9">
        <v>714.01502250449244</v>
      </c>
      <c r="Z33" s="9">
        <v>803.05251257571501</v>
      </c>
      <c r="AA33" s="9">
        <v>369.76185349212926</v>
      </c>
      <c r="AB33" s="9">
        <v>2517.3473094214587</v>
      </c>
      <c r="AC33" s="9">
        <v>2147.8871873741414</v>
      </c>
      <c r="AD33" s="9">
        <v>94.750502052911727</v>
      </c>
      <c r="AE33" s="9">
        <v>3733.0759797757196</v>
      </c>
      <c r="AF33" s="9">
        <v>4547.3930551885478</v>
      </c>
      <c r="AG33" s="9">
        <v>14931.776726459917</v>
      </c>
      <c r="AH33" s="9">
        <v>1532.6831869671612</v>
      </c>
      <c r="AI33" s="9">
        <v>132.7080452317382</v>
      </c>
      <c r="AJ33" s="9">
        <v>2873.3300340968894</v>
      </c>
      <c r="AK33" s="9">
        <v>6.3</v>
      </c>
      <c r="AL33" s="9">
        <v>51.080236446145328</v>
      </c>
      <c r="AM33" s="9">
        <v>7.3584295902170211</v>
      </c>
      <c r="AN33" s="9">
        <v>804.63891336126608</v>
      </c>
      <c r="AO33" s="9">
        <v>2944.5544767332917</v>
      </c>
      <c r="AP33" s="9">
        <v>626.78378471601934</v>
      </c>
      <c r="AQ33" s="11">
        <v>4.3738069588067008</v>
      </c>
      <c r="AR33" s="9">
        <v>4461.3094821438417</v>
      </c>
      <c r="AS33" s="9">
        <v>61.076683477245076</v>
      </c>
      <c r="AT33" s="9">
        <v>1236.4177142276299</v>
      </c>
      <c r="AU33" s="9">
        <v>176.69784818464953</v>
      </c>
      <c r="AV33" s="9">
        <f t="shared" si="0"/>
        <v>108911.10566313042</v>
      </c>
    </row>
    <row r="34" spans="1:48" x14ac:dyDescent="0.3">
      <c r="A34" s="3">
        <f t="shared" si="1"/>
        <v>1830</v>
      </c>
      <c r="B34" s="9">
        <v>3846.3844309229175</v>
      </c>
      <c r="C34" s="9">
        <v>2795.6839607332454</v>
      </c>
      <c r="D34" s="9">
        <v>130.46336362585498</v>
      </c>
      <c r="E34" s="9">
        <v>93.127787100574949</v>
      </c>
      <c r="F34" s="9">
        <v>8631.4011765567793</v>
      </c>
      <c r="G34" s="9">
        <v>6363.1321488470503</v>
      </c>
      <c r="H34" s="9">
        <v>76.242273999999995</v>
      </c>
      <c r="I34" s="9">
        <v>2816.8189882152487</v>
      </c>
      <c r="J34" s="9">
        <v>2.9681950931893044</v>
      </c>
      <c r="K34" s="9">
        <v>80.804986353928825</v>
      </c>
      <c r="L34" s="9">
        <v>5562.1055560961231</v>
      </c>
      <c r="M34" s="9">
        <v>150.1268754682774</v>
      </c>
      <c r="N34" s="9">
        <v>495.23974848461785</v>
      </c>
      <c r="O34" s="9">
        <v>10955.376599871319</v>
      </c>
      <c r="P34" s="9">
        <v>3860.6707469637449</v>
      </c>
      <c r="Q34" s="9">
        <v>41.020801537023537</v>
      </c>
      <c r="R34" s="9">
        <v>9703.6214602333785</v>
      </c>
      <c r="S34" s="9">
        <v>117.42783328437787</v>
      </c>
      <c r="T34" s="9">
        <v>5573.308899592188</v>
      </c>
      <c r="U34" s="9">
        <v>115.79219784823049</v>
      </c>
      <c r="V34" s="9">
        <v>531.1259888542229</v>
      </c>
      <c r="W34" s="9">
        <v>1928.02058660072</v>
      </c>
      <c r="X34" s="9">
        <v>227.59063416320399</v>
      </c>
      <c r="Y34" s="9">
        <v>714.72903752699688</v>
      </c>
      <c r="Z34" s="9">
        <v>802.67101422756093</v>
      </c>
      <c r="AA34" s="9">
        <v>369.6822491872195</v>
      </c>
      <c r="AB34" s="9">
        <v>2514.1807930670348</v>
      </c>
      <c r="AC34" s="9">
        <v>2150.6233863988386</v>
      </c>
      <c r="AD34" s="9">
        <v>96.846360725769472</v>
      </c>
      <c r="AE34" s="9">
        <v>3736.8090557554947</v>
      </c>
      <c r="AF34" s="9">
        <v>4541.6729885035274</v>
      </c>
      <c r="AG34" s="9">
        <v>14928.562133888639</v>
      </c>
      <c r="AH34" s="9">
        <v>1532.6831869671612</v>
      </c>
      <c r="AI34" s="9">
        <v>133.63700154836036</v>
      </c>
      <c r="AJ34" s="9">
        <v>2869.7157348261558</v>
      </c>
      <c r="AK34" s="9">
        <v>6.3</v>
      </c>
      <c r="AL34" s="9">
        <v>51.131316682591468</v>
      </c>
      <c r="AM34" s="9">
        <v>7.193369106067685</v>
      </c>
      <c r="AN34" s="9">
        <v>804.4656864023558</v>
      </c>
      <c r="AO34" s="9">
        <v>2948.2123554206983</v>
      </c>
      <c r="AP34" s="9">
        <v>627.58224619505665</v>
      </c>
      <c r="AQ34" s="11">
        <v>4.378763060732993</v>
      </c>
      <c r="AR34" s="9">
        <v>4459.1900912305591</v>
      </c>
      <c r="AS34" s="9">
        <v>61.152556109439246</v>
      </c>
      <c r="AT34" s="9">
        <v>1237.6541319418573</v>
      </c>
      <c r="AU34" s="9">
        <v>177.05124388101882</v>
      </c>
      <c r="AV34" s="9">
        <f t="shared" si="0"/>
        <v>108874.57994309936</v>
      </c>
    </row>
    <row r="35" spans="1:48" x14ac:dyDescent="0.3">
      <c r="A35" s="3">
        <f t="shared" si="1"/>
        <v>1831</v>
      </c>
      <c r="B35" s="9">
        <v>3846.3844309229175</v>
      </c>
      <c r="C35" s="9">
        <v>2788.9873915598291</v>
      </c>
      <c r="D35" s="9">
        <v>130.62344338100786</v>
      </c>
      <c r="E35" s="9">
        <v>93.242055757634432</v>
      </c>
      <c r="F35" s="9">
        <v>8610.7261732823899</v>
      </c>
      <c r="G35" s="9">
        <v>6369.1069647159893</v>
      </c>
      <c r="H35" s="9">
        <v>68.121137000000004</v>
      </c>
      <c r="I35" s="9">
        <v>2810.0717938011035</v>
      </c>
      <c r="J35" s="9">
        <v>2.9978770441211973</v>
      </c>
      <c r="K35" s="9">
        <v>80.96659632663669</v>
      </c>
      <c r="L35" s="9">
        <v>5385.5119639677778</v>
      </c>
      <c r="M35" s="9">
        <v>149.76727294507285</v>
      </c>
      <c r="N35" s="9">
        <v>495.00335674772651</v>
      </c>
      <c r="O35" s="9">
        <v>10950.147293236167</v>
      </c>
      <c r="P35" s="9">
        <v>3852.3230255344542</v>
      </c>
      <c r="Q35" s="9">
        <v>41.001221164984173</v>
      </c>
      <c r="R35" s="9">
        <v>9701.5279057081862</v>
      </c>
      <c r="S35" s="9">
        <v>117.40249825118809</v>
      </c>
      <c r="T35" s="9">
        <v>5566.2090470184394</v>
      </c>
      <c r="U35" s="9">
        <v>115.93427594713124</v>
      </c>
      <c r="V35" s="9">
        <v>531.01139852091592</v>
      </c>
      <c r="W35" s="9">
        <v>1927.6046165177686</v>
      </c>
      <c r="X35" s="9">
        <v>227.54153152621467</v>
      </c>
      <c r="Y35" s="9">
        <v>715.4437665645238</v>
      </c>
      <c r="Z35" s="9">
        <v>802.28787697780228</v>
      </c>
      <c r="AA35" s="9">
        <v>369.60249031071749</v>
      </c>
      <c r="AB35" s="9">
        <v>2510.9779716738349</v>
      </c>
      <c r="AC35" s="9">
        <v>2153.3630710745265</v>
      </c>
      <c r="AD35" s="9">
        <v>98.988579296268071</v>
      </c>
      <c r="AE35" s="9">
        <v>3740.5458648112499</v>
      </c>
      <c r="AF35" s="9">
        <v>4535.8873395762075</v>
      </c>
      <c r="AG35" s="9">
        <v>14925.341299384934</v>
      </c>
      <c r="AH35" s="9">
        <v>1532.6831869671612</v>
      </c>
      <c r="AI35" s="9">
        <v>134.57246055919887</v>
      </c>
      <c r="AJ35" s="9">
        <v>2866.059996554171</v>
      </c>
      <c r="AK35" s="9">
        <v>6.3</v>
      </c>
      <c r="AL35" s="9">
        <v>51.182447999274054</v>
      </c>
      <c r="AM35" s="9">
        <v>7.0320111732703161</v>
      </c>
      <c r="AN35" s="9">
        <v>804.29212308014348</v>
      </c>
      <c r="AO35" s="9">
        <v>2951.8298392788329</v>
      </c>
      <c r="AP35" s="9">
        <v>628.38172483623032</v>
      </c>
      <c r="AQ35" s="11">
        <v>4.3837247785784452</v>
      </c>
      <c r="AR35" s="9">
        <v>4457.0615954989062</v>
      </c>
      <c r="AS35" s="9">
        <v>61.227590862008142</v>
      </c>
      <c r="AT35" s="9">
        <v>1238.891786073799</v>
      </c>
      <c r="AU35" s="9">
        <v>177.40534636878087</v>
      </c>
      <c r="AV35" s="9">
        <f t="shared" si="0"/>
        <v>108635.9553645781</v>
      </c>
    </row>
    <row r="36" spans="1:48" x14ac:dyDescent="0.3">
      <c r="A36" s="3">
        <f t="shared" si="1"/>
        <v>1832</v>
      </c>
      <c r="B36" s="9">
        <v>3846.3844309229175</v>
      </c>
      <c r="C36" s="9">
        <v>2782.3068628399565</v>
      </c>
      <c r="D36" s="9">
        <v>130.78371955550253</v>
      </c>
      <c r="E36" s="9">
        <v>93.356464623394174</v>
      </c>
      <c r="F36" s="9">
        <v>8590.1006933416575</v>
      </c>
      <c r="G36" s="9">
        <v>6375.0873907818923</v>
      </c>
      <c r="H36" s="9">
        <v>60</v>
      </c>
      <c r="I36" s="9">
        <v>2803.3407611043608</v>
      </c>
      <c r="J36" s="9">
        <v>3.0278558145624093</v>
      </c>
      <c r="K36" s="9">
        <v>81.12852951928997</v>
      </c>
      <c r="L36" s="9">
        <v>5421.0677207721437</v>
      </c>
      <c r="M36" s="9">
        <v>149.40853178645938</v>
      </c>
      <c r="N36" s="9">
        <v>494.76707784720071</v>
      </c>
      <c r="O36" s="9">
        <v>10944.920482694839</v>
      </c>
      <c r="P36" s="9">
        <v>3843.9933539357835</v>
      </c>
      <c r="Q36" s="9">
        <v>40.981650139202188</v>
      </c>
      <c r="R36" s="9">
        <v>9699.4348028669938</v>
      </c>
      <c r="S36" s="9">
        <v>117.37716868402703</v>
      </c>
      <c r="T36" s="9">
        <v>5559.1182389651867</v>
      </c>
      <c r="U36" s="9">
        <v>116.07652837717488</v>
      </c>
      <c r="V36" s="9">
        <v>530.89683291045208</v>
      </c>
      <c r="W36" s="9">
        <v>1927.1887361802853</v>
      </c>
      <c r="X36" s="9">
        <v>227.49243948311013</v>
      </c>
      <c r="Y36" s="9">
        <v>716.15921033108827</v>
      </c>
      <c r="Z36" s="9">
        <v>801.90492261013299</v>
      </c>
      <c r="AA36" s="9">
        <v>369.52274864217827</v>
      </c>
      <c r="AB36" s="9">
        <v>2507.779230363064</v>
      </c>
      <c r="AC36" s="9">
        <v>2156.106245841585</v>
      </c>
      <c r="AD36" s="9">
        <v>101.27580376892344</v>
      </c>
      <c r="AE36" s="9">
        <v>3744.2864106760608</v>
      </c>
      <c r="AF36" s="9">
        <v>4530.1090610019701</v>
      </c>
      <c r="AG36" s="9">
        <v>14922.121159775674</v>
      </c>
      <c r="AH36" s="9">
        <v>1532.6831869671612</v>
      </c>
      <c r="AI36" s="9">
        <v>135.51446778311325</v>
      </c>
      <c r="AJ36" s="9">
        <v>2862.4089153365949</v>
      </c>
      <c r="AK36" s="9">
        <v>6.3</v>
      </c>
      <c r="AL36" s="9">
        <v>51.23363044727332</v>
      </c>
      <c r="AM36" s="9">
        <v>6.8742727381092745</v>
      </c>
      <c r="AN36" s="9">
        <v>804.11859720418556</v>
      </c>
      <c r="AO36" s="9">
        <v>2955.4517618231562</v>
      </c>
      <c r="AP36" s="9">
        <v>629.18222193530585</v>
      </c>
      <c r="AQ36" s="11">
        <v>4.3886921187066372</v>
      </c>
      <c r="AR36" s="9">
        <v>4454.9341157575982</v>
      </c>
      <c r="AS36" s="9">
        <v>61.302717682913205</v>
      </c>
      <c r="AT36" s="9">
        <v>1240.1306778598728</v>
      </c>
      <c r="AU36" s="9">
        <v>177.76015706151844</v>
      </c>
      <c r="AV36" s="9">
        <f t="shared" ref="AV36:AV67" si="2">SUM(B36:AU36)</f>
        <v>108609.78848087259</v>
      </c>
    </row>
    <row r="37" spans="1:48" x14ac:dyDescent="0.3">
      <c r="A37" s="3">
        <f t="shared" si="1"/>
        <v>1833</v>
      </c>
      <c r="B37" s="9">
        <v>3846.3844309229175</v>
      </c>
      <c r="C37" s="9">
        <v>2775.6423361515422</v>
      </c>
      <c r="D37" s="9">
        <v>130.94419239034733</v>
      </c>
      <c r="E37" s="9">
        <v>93.471013869891536</v>
      </c>
      <c r="F37" s="9">
        <v>8569.5246181101484</v>
      </c>
      <c r="G37" s="9">
        <v>6381.0734323125898</v>
      </c>
      <c r="H37" s="9">
        <v>46</v>
      </c>
      <c r="I37" s="9">
        <v>2796.6258514124697</v>
      </c>
      <c r="J37" s="9">
        <v>3.0581343727080332</v>
      </c>
      <c r="K37" s="9">
        <v>81.29078657832855</v>
      </c>
      <c r="L37" s="9">
        <v>5456.6234775765079</v>
      </c>
      <c r="M37" s="9">
        <v>149.0506499291896</v>
      </c>
      <c r="N37" s="9">
        <v>494.53091172918045</v>
      </c>
      <c r="O37" s="9">
        <v>10939.696167055881</v>
      </c>
      <c r="P37" s="9">
        <v>3835.681693139551</v>
      </c>
      <c r="Q37" s="9">
        <v>40.96208845521636</v>
      </c>
      <c r="R37" s="9">
        <v>9697.3421516123508</v>
      </c>
      <c r="S37" s="9">
        <v>117.35184458171535</v>
      </c>
      <c r="T37" s="9">
        <v>5552.036463910591</v>
      </c>
      <c r="U37" s="9">
        <v>116.21895535226732</v>
      </c>
      <c r="V37" s="9">
        <v>530.78229201749741</v>
      </c>
      <c r="W37" s="9">
        <v>1926.7729455689075</v>
      </c>
      <c r="X37" s="9">
        <v>227.44335803160476</v>
      </c>
      <c r="Y37" s="9">
        <v>716.87536954141933</v>
      </c>
      <c r="Z37" s="9">
        <v>801.52215103725837</v>
      </c>
      <c r="AA37" s="9">
        <v>369.44302417788919</v>
      </c>
      <c r="AB37" s="9">
        <v>2504.5845639370941</v>
      </c>
      <c r="AC37" s="9">
        <v>2158.8529151460507</v>
      </c>
      <c r="AD37" s="9">
        <v>101.60249991011349</v>
      </c>
      <c r="AE37" s="9">
        <v>3748.0306970867364</v>
      </c>
      <c r="AF37" s="9">
        <v>4524.3381433917029</v>
      </c>
      <c r="AG37" s="9">
        <v>14918.901714910935</v>
      </c>
      <c r="AH37" s="9">
        <v>1532.6831869671612</v>
      </c>
      <c r="AI37" s="9">
        <v>136.46306905759502</v>
      </c>
      <c r="AJ37" s="9">
        <v>2858.762485240793</v>
      </c>
      <c r="AK37" s="9">
        <v>6.3</v>
      </c>
      <c r="AL37" s="9">
        <v>51.284864077720592</v>
      </c>
      <c r="AM37" s="9">
        <v>6.7200726098868842</v>
      </c>
      <c r="AN37" s="9">
        <v>803.94510876640311</v>
      </c>
      <c r="AO37" s="9">
        <v>2959.0781284999775</v>
      </c>
      <c r="AP37" s="9">
        <v>629.98373878969937</v>
      </c>
      <c r="AQ37" s="11">
        <v>4.3936650874883592</v>
      </c>
      <c r="AR37" s="9">
        <v>4452.8076515216744</v>
      </c>
      <c r="AS37" s="9">
        <v>61.377936685123132</v>
      </c>
      <c r="AT37" s="9">
        <v>1241.3708085377325</v>
      </c>
      <c r="AU37" s="9">
        <v>178.11567737564147</v>
      </c>
      <c r="AV37" s="9">
        <f t="shared" si="2"/>
        <v>108575.94526743748</v>
      </c>
    </row>
    <row r="38" spans="1:48" x14ac:dyDescent="0.3">
      <c r="A38" s="3">
        <f t="shared" si="1"/>
        <v>1834</v>
      </c>
      <c r="B38" s="9">
        <v>3846.3844309229175</v>
      </c>
      <c r="C38" s="9">
        <v>2768.993773164535</v>
      </c>
      <c r="D38" s="9">
        <v>131.10486212684631</v>
      </c>
      <c r="E38" s="9">
        <v>93.585703669374979</v>
      </c>
      <c r="F38" s="9">
        <v>8548.9978292475698</v>
      </c>
      <c r="G38" s="9">
        <v>6387.0650945808566</v>
      </c>
      <c r="H38" s="9">
        <v>47.124435880340002</v>
      </c>
      <c r="I38" s="9">
        <v>2789.9270261056081</v>
      </c>
      <c r="J38" s="9">
        <v>3.0887157164351136</v>
      </c>
      <c r="K38" s="9">
        <v>81.453368151485208</v>
      </c>
      <c r="L38" s="9">
        <v>5492.1792343808729</v>
      </c>
      <c r="M38" s="9">
        <v>148.6936253149583</v>
      </c>
      <c r="N38" s="9">
        <v>494.29485833983153</v>
      </c>
      <c r="O38" s="9">
        <v>10934.474345128407</v>
      </c>
      <c r="P38" s="9">
        <v>3827.3880042019641</v>
      </c>
      <c r="Q38" s="9">
        <v>40.94253610856758</v>
      </c>
      <c r="R38" s="9">
        <v>9695.2499518468267</v>
      </c>
      <c r="S38" s="9">
        <v>117.32652594307405</v>
      </c>
      <c r="T38" s="9">
        <v>5544.9637103474925</v>
      </c>
      <c r="U38" s="9">
        <v>116.36155708657695</v>
      </c>
      <c r="V38" s="9">
        <v>530.66777583671899</v>
      </c>
      <c r="W38" s="9">
        <v>1926.3572446642768</v>
      </c>
      <c r="X38" s="9">
        <v>227.39428716941345</v>
      </c>
      <c r="Y38" s="9">
        <v>717.59224491096063</v>
      </c>
      <c r="Z38" s="9">
        <v>801.13956217192526</v>
      </c>
      <c r="AA38" s="9">
        <v>369.36331691413847</v>
      </c>
      <c r="AB38" s="9">
        <v>2501.3939672049196</v>
      </c>
      <c r="AC38" s="9">
        <v>2161.6030834396233</v>
      </c>
      <c r="AD38" s="9">
        <v>101.71139862384354</v>
      </c>
      <c r="AE38" s="9">
        <v>3751.7787277838229</v>
      </c>
      <c r="AF38" s="9">
        <v>4518.5745773682556</v>
      </c>
      <c r="AG38" s="9">
        <v>14915.682964640828</v>
      </c>
      <c r="AH38" s="9">
        <v>1532.6831869671612</v>
      </c>
      <c r="AI38" s="9">
        <v>137.41831054099816</v>
      </c>
      <c r="AJ38" s="9">
        <v>2855.1207003416898</v>
      </c>
      <c r="AK38" s="9">
        <v>6.3</v>
      </c>
      <c r="AL38" s="9">
        <v>51.336148941798307</v>
      </c>
      <c r="AM38" s="9">
        <v>6.569331419133178</v>
      </c>
      <c r="AN38" s="9">
        <v>803.7716577587189</v>
      </c>
      <c r="AO38" s="9">
        <v>2962.7089447622884</v>
      </c>
      <c r="AP38" s="9">
        <v>630.78627669847981</v>
      </c>
      <c r="AQ38" s="11">
        <v>4.3986436913016203</v>
      </c>
      <c r="AR38" s="9">
        <v>4450.682202306406</v>
      </c>
      <c r="AS38" s="9">
        <v>61.453247981745236</v>
      </c>
      <c r="AT38" s="9">
        <v>1242.6121793462701</v>
      </c>
      <c r="AU38" s="9">
        <v>178.47190873039276</v>
      </c>
      <c r="AV38" s="9">
        <f t="shared" si="2"/>
        <v>108557.17147847965</v>
      </c>
    </row>
    <row r="39" spans="1:48" x14ac:dyDescent="0.3">
      <c r="A39" s="3">
        <f t="shared" si="1"/>
        <v>1835</v>
      </c>
      <c r="B39" s="9">
        <v>3846.3844309229175</v>
      </c>
      <c r="C39" s="9">
        <v>2762.3611356406959</v>
      </c>
      <c r="D39" s="9">
        <v>131.26572900659966</v>
      </c>
      <c r="E39" s="9">
        <v>93.700534194304325</v>
      </c>
      <c r="F39" s="9">
        <v>8528.5202086970967</v>
      </c>
      <c r="G39" s="9">
        <v>6393.0623828644202</v>
      </c>
      <c r="H39" s="9">
        <v>48.276357761745132</v>
      </c>
      <c r="I39" s="9">
        <v>2783.2442466564607</v>
      </c>
      <c r="J39" s="9">
        <v>3.1196028735994648</v>
      </c>
      <c r="K39" s="9">
        <v>81.61627488778818</v>
      </c>
      <c r="L39" s="9">
        <v>4936.3242363393047</v>
      </c>
      <c r="M39" s="9">
        <v>148.33745589039054</v>
      </c>
      <c r="N39" s="9">
        <v>494.05891762534537</v>
      </c>
      <c r="O39" s="9">
        <v>10929.255015722098</v>
      </c>
      <c r="P39" s="9">
        <v>3819.1122482634364</v>
      </c>
      <c r="Q39" s="9">
        <v>40.922993094798883</v>
      </c>
      <c r="R39" s="9">
        <v>9693.1582034730127</v>
      </c>
      <c r="S39" s="9">
        <v>117.30121276692432</v>
      </c>
      <c r="T39" s="9">
        <v>5537.8999667833896</v>
      </c>
      <c r="U39" s="9">
        <v>116.50433379453496</v>
      </c>
      <c r="V39" s="9">
        <v>530.55328436278535</v>
      </c>
      <c r="W39" s="9">
        <v>1925.9416334470388</v>
      </c>
      <c r="X39" s="9">
        <v>227.34522689425151</v>
      </c>
      <c r="Y39" s="9">
        <v>718.30983715587149</v>
      </c>
      <c r="Z39" s="9">
        <v>800.75715592692234</v>
      </c>
      <c r="AA39" s="9">
        <v>369.28362684721503</v>
      </c>
      <c r="AB39" s="9">
        <v>2498.2074349821464</v>
      </c>
      <c r="AC39" s="9">
        <v>2164.3567551796746</v>
      </c>
      <c r="AD39" s="9">
        <v>101.71139862384354</v>
      </c>
      <c r="AE39" s="9">
        <v>3755.5305065116063</v>
      </c>
      <c r="AF39" s="9">
        <v>4512.818353566422</v>
      </c>
      <c r="AG39" s="9">
        <v>14912.464908815493</v>
      </c>
      <c r="AH39" s="9">
        <v>1532.6831869671612</v>
      </c>
      <c r="AI39" s="9">
        <v>138.38023871478512</v>
      </c>
      <c r="AJ39" s="9">
        <v>2851.4835547217572</v>
      </c>
      <c r="AK39" s="9">
        <v>6.3</v>
      </c>
      <c r="AL39" s="9">
        <v>51.3874850907401</v>
      </c>
      <c r="AM39" s="9">
        <v>6.4219715767530614</v>
      </c>
      <c r="AN39" s="9">
        <v>803.59824417305731</v>
      </c>
      <c r="AO39" s="9">
        <v>2966.3442160697718</v>
      </c>
      <c r="AP39" s="9">
        <v>631.58983696237101</v>
      </c>
      <c r="AQ39" s="11">
        <v>4.4036279365316569</v>
      </c>
      <c r="AR39" s="9">
        <v>4448.557767627296</v>
      </c>
      <c r="AS39" s="9">
        <v>61.528651686025611</v>
      </c>
      <c r="AT39" s="9">
        <v>1243.8547915256163</v>
      </c>
      <c r="AU39" s="9">
        <v>178.82885254785353</v>
      </c>
      <c r="AV39" s="9">
        <f t="shared" si="2"/>
        <v>107947.06803517188</v>
      </c>
    </row>
    <row r="40" spans="1:48" x14ac:dyDescent="0.3">
      <c r="A40" s="3">
        <f t="shared" si="1"/>
        <v>1836</v>
      </c>
      <c r="B40" s="9">
        <v>3846.3844309229175</v>
      </c>
      <c r="C40" s="9">
        <v>2755.7443854333792</v>
      </c>
      <c r="D40" s="9">
        <v>131.42679327150395</v>
      </c>
      <c r="E40" s="9">
        <v>93.815505617350993</v>
      </c>
      <c r="F40" s="9">
        <v>8508.0916386846839</v>
      </c>
      <c r="G40" s="9">
        <v>6399.0653024459625</v>
      </c>
      <c r="H40" s="9">
        <v>49.456437519124194</v>
      </c>
      <c r="I40" s="9">
        <v>2776.5774746299981</v>
      </c>
      <c r="J40" s="9">
        <v>3.1507989023354592</v>
      </c>
      <c r="K40" s="9">
        <v>81.779507437563751</v>
      </c>
      <c r="L40" s="9">
        <v>4968.3244174632327</v>
      </c>
      <c r="M40" s="9">
        <v>147.98213960702995</v>
      </c>
      <c r="N40" s="9">
        <v>493.82308953193916</v>
      </c>
      <c r="O40" s="9">
        <v>10924.038177647206</v>
      </c>
      <c r="P40" s="9">
        <v>3810.8543865484048</v>
      </c>
      <c r="Q40" s="9">
        <v>40.903459409455429</v>
      </c>
      <c r="R40" s="9">
        <v>9691.0669063935202</v>
      </c>
      <c r="S40" s="9">
        <v>117.27590505208764</v>
      </c>
      <c r="T40" s="9">
        <v>5530.8452217404219</v>
      </c>
      <c r="U40" s="9">
        <v>116.64728569083563</v>
      </c>
      <c r="V40" s="9">
        <v>530.43881759036594</v>
      </c>
      <c r="W40" s="9">
        <v>1925.5261118978437</v>
      </c>
      <c r="X40" s="9">
        <v>227.29617720383482</v>
      </c>
      <c r="Y40" s="9">
        <v>719.02814699302724</v>
      </c>
      <c r="Z40" s="9">
        <v>800.37493221507987</v>
      </c>
      <c r="AA40" s="9">
        <v>369.20395397340872</v>
      </c>
      <c r="AB40" s="9">
        <v>2495.0249620909863</v>
      </c>
      <c r="AC40" s="9">
        <v>2167.1139348292536</v>
      </c>
      <c r="AD40" s="9">
        <v>104.05272096903909</v>
      </c>
      <c r="AE40" s="9">
        <v>3759.2860370181174</v>
      </c>
      <c r="AF40" s="9">
        <v>4507.0694626329278</v>
      </c>
      <c r="AG40" s="9">
        <v>14909.247547285104</v>
      </c>
      <c r="AH40" s="9">
        <v>1532.6831869671612</v>
      </c>
      <c r="AI40" s="9">
        <v>139.3489003857886</v>
      </c>
      <c r="AJ40" s="9">
        <v>2847.8510424710053</v>
      </c>
      <c r="AK40" s="9">
        <v>6.3</v>
      </c>
      <c r="AL40" s="9">
        <v>51.438872575830835</v>
      </c>
      <c r="AM40" s="9">
        <v>6.2779172340898635</v>
      </c>
      <c r="AN40" s="9">
        <v>803.42486800134463</v>
      </c>
      <c r="AO40" s="9">
        <v>2969.9839478888089</v>
      </c>
      <c r="AP40" s="9">
        <v>632.3944208837537</v>
      </c>
      <c r="AQ40" s="11">
        <v>4.4086178295709404</v>
      </c>
      <c r="AR40" s="9">
        <v>4446.4343470000777</v>
      </c>
      <c r="AS40" s="9">
        <v>61.604147911349322</v>
      </c>
      <c r="AT40" s="9">
        <v>1245.0986463171419</v>
      </c>
      <c r="AU40" s="9">
        <v>179.18651025294923</v>
      </c>
      <c r="AV40" s="9">
        <f t="shared" si="2"/>
        <v>107927.3514943668</v>
      </c>
    </row>
    <row r="41" spans="1:48" x14ac:dyDescent="0.3">
      <c r="A41" s="3">
        <f t="shared" si="1"/>
        <v>1837</v>
      </c>
      <c r="B41" s="9">
        <v>3846.3844309229175</v>
      </c>
      <c r="C41" s="9">
        <v>2749.1434844873124</v>
      </c>
      <c r="D41" s="9">
        <v>131.58805516375261</v>
      </c>
      <c r="E41" s="9">
        <v>93.930618111398275</v>
      </c>
      <c r="F41" s="9">
        <v>8487.712001718397</v>
      </c>
      <c r="G41" s="9">
        <v>6405.0738586131256</v>
      </c>
      <c r="H41" s="9">
        <v>50.665363450869776</v>
      </c>
      <c r="I41" s="9">
        <v>2769.9266716832544</v>
      </c>
      <c r="J41" s="9">
        <v>3.1823068913588139</v>
      </c>
      <c r="K41" s="9">
        <v>81.943066452438885</v>
      </c>
      <c r="L41" s="9">
        <v>5001.5097904806398</v>
      </c>
      <c r="M41" s="9">
        <v>147.62767442132682</v>
      </c>
      <c r="N41" s="9">
        <v>493.58737400585568</v>
      </c>
      <c r="O41" s="9">
        <v>10918.823829714547</v>
      </c>
      <c r="P41" s="9">
        <v>3802.6143803651489</v>
      </c>
      <c r="Q41" s="9">
        <v>40.883935048084496</v>
      </c>
      <c r="R41" s="9">
        <v>9688.9760605109841</v>
      </c>
      <c r="S41" s="9">
        <v>117.25060279738572</v>
      </c>
      <c r="T41" s="9">
        <v>5523.7994637553493</v>
      </c>
      <c r="U41" s="9">
        <v>116.79041299043668</v>
      </c>
      <c r="V41" s="9">
        <v>530.32437551413136</v>
      </c>
      <c r="W41" s="9">
        <v>1925.1106799973456</v>
      </c>
      <c r="X41" s="9">
        <v>227.24713809587971</v>
      </c>
      <c r="Y41" s="9">
        <v>719.7471751400202</v>
      </c>
      <c r="Z41" s="9">
        <v>799.99289094926962</v>
      </c>
      <c r="AA41" s="9">
        <v>369.12429828901014</v>
      </c>
      <c r="AB41" s="9">
        <v>2491.8465433602455</v>
      </c>
      <c r="AC41" s="9">
        <v>2169.8746268570953</v>
      </c>
      <c r="AD41" s="9">
        <v>109.66100472613539</v>
      </c>
      <c r="AE41" s="9">
        <v>3763.0453230551352</v>
      </c>
      <c r="AF41" s="9">
        <v>4501.3278952264127</v>
      </c>
      <c r="AG41" s="9">
        <v>14906.030879899867</v>
      </c>
      <c r="AH41" s="9">
        <v>1532.6831869671612</v>
      </c>
      <c r="AI41" s="9">
        <v>140.32434268848911</v>
      </c>
      <c r="AJ41" s="9">
        <v>2844.2231576869735</v>
      </c>
      <c r="AK41" s="9">
        <v>6.3</v>
      </c>
      <c r="AL41" s="9">
        <v>51.490311448406658</v>
      </c>
      <c r="AM41" s="9">
        <v>6.1370942438847251</v>
      </c>
      <c r="AN41" s="9">
        <v>803.25152923550866</v>
      </c>
      <c r="AO41" s="9">
        <v>2973.6281456924889</v>
      </c>
      <c r="AP41" s="9">
        <v>633.20002976666785</v>
      </c>
      <c r="AQ41" s="11">
        <v>4.4136133768191854</v>
      </c>
      <c r="AR41" s="9">
        <v>4444.3119399407151</v>
      </c>
      <c r="AS41" s="9">
        <v>61.679736771240535</v>
      </c>
      <c r="AT41" s="9">
        <v>1246.3437449634589</v>
      </c>
      <c r="AU41" s="9">
        <v>179.54488327345513</v>
      </c>
      <c r="AV41" s="9">
        <f t="shared" si="2"/>
        <v>107912.27792875038</v>
      </c>
    </row>
    <row r="42" spans="1:48" x14ac:dyDescent="0.3">
      <c r="A42" s="3">
        <f t="shared" si="1"/>
        <v>1838</v>
      </c>
      <c r="B42" s="9">
        <v>3846.3844309229175</v>
      </c>
      <c r="C42" s="9">
        <v>2742.5583948383783</v>
      </c>
      <c r="D42" s="9">
        <v>131.74951492583622</v>
      </c>
      <c r="E42" s="9">
        <v>94.045871849541598</v>
      </c>
      <c r="F42" s="9">
        <v>8467.3811805877303</v>
      </c>
      <c r="G42" s="9">
        <v>6411.0880566585174</v>
      </c>
      <c r="H42" s="9">
        <v>51.903840680318147</v>
      </c>
      <c r="I42" s="9">
        <v>2763.2917995651082</v>
      </c>
      <c r="J42" s="9">
        <v>3.2141299602724023</v>
      </c>
      <c r="K42" s="9">
        <v>82.106952585343763</v>
      </c>
      <c r="L42" s="9">
        <v>5033.5099716045679</v>
      </c>
      <c r="M42" s="9">
        <v>147.2740582946264</v>
      </c>
      <c r="N42" s="9">
        <v>493.35177099336346</v>
      </c>
      <c r="O42" s="9">
        <v>10913.611970735508</v>
      </c>
      <c r="P42" s="9">
        <v>3794.3921911056095</v>
      </c>
      <c r="Q42" s="9">
        <v>40.864420006235491</v>
      </c>
      <c r="R42" s="9">
        <v>9686.8856657280576</v>
      </c>
      <c r="S42" s="9">
        <v>117.22530600164056</v>
      </c>
      <c r="T42" s="9">
        <v>5516.7626813795359</v>
      </c>
      <c r="U42" s="9">
        <v>116.93371590855958</v>
      </c>
      <c r="V42" s="9">
        <v>530.20995812875344</v>
      </c>
      <c r="W42" s="9">
        <v>1924.6953377262028</v>
      </c>
      <c r="X42" s="9">
        <v>227.19810956810301</v>
      </c>
      <c r="Y42" s="9">
        <v>720.4669223151601</v>
      </c>
      <c r="Z42" s="9">
        <v>799.6110320424051</v>
      </c>
      <c r="AA42" s="9">
        <v>369.04465979031062</v>
      </c>
      <c r="AB42" s="9">
        <v>2488.6721736253189</v>
      </c>
      <c r="AC42" s="9">
        <v>2172.6388357376277</v>
      </c>
      <c r="AD42" s="9">
        <v>119.24409153437759</v>
      </c>
      <c r="AE42" s="9">
        <v>3766.8083683781902</v>
      </c>
      <c r="AF42" s="9">
        <v>4495.5936420174176</v>
      </c>
      <c r="AG42" s="9">
        <v>14902.814906510019</v>
      </c>
      <c r="AH42" s="9">
        <v>1532.6831869671612</v>
      </c>
      <c r="AI42" s="9">
        <v>141.30661308730851</v>
      </c>
      <c r="AJ42" s="9">
        <v>2840.5998944747198</v>
      </c>
      <c r="AK42" s="9">
        <v>6.3</v>
      </c>
      <c r="AL42" s="9">
        <v>51.541801759855062</v>
      </c>
      <c r="AM42" s="9">
        <v>5.9994301221117201</v>
      </c>
      <c r="AN42" s="9">
        <v>803.0782278674792</v>
      </c>
      <c r="AO42" s="9">
        <v>2977.2768149606163</v>
      </c>
      <c r="AP42" s="9">
        <v>634.00666491681454</v>
      </c>
      <c r="AQ42" s="11">
        <v>4.4186145846833593</v>
      </c>
      <c r="AR42" s="9">
        <v>4442.1905459654045</v>
      </c>
      <c r="AS42" s="9">
        <v>61.755418379362723</v>
      </c>
      <c r="AT42" s="9">
        <v>1247.5900887084222</v>
      </c>
      <c r="AU42" s="9">
        <v>179.90397304000203</v>
      </c>
      <c r="AV42" s="9">
        <f t="shared" si="2"/>
        <v>107900.18523653949</v>
      </c>
    </row>
    <row r="43" spans="1:48" x14ac:dyDescent="0.3">
      <c r="A43" s="3">
        <f t="shared" si="1"/>
        <v>1839</v>
      </c>
      <c r="B43" s="9">
        <v>3846.3844309229175</v>
      </c>
      <c r="C43" s="9">
        <v>2735.9890786133956</v>
      </c>
      <c r="D43" s="9">
        <v>131.91117280054289</v>
      </c>
      <c r="E43" s="9">
        <v>94.161267005088789</v>
      </c>
      <c r="F43" s="9">
        <v>8447.0990583629373</v>
      </c>
      <c r="G43" s="9">
        <v>6417.1079018797154</v>
      </c>
      <c r="H43" s="9">
        <v>53.172591567022508</v>
      </c>
      <c r="I43" s="9">
        <v>2756.6728201160622</v>
      </c>
      <c r="J43" s="9">
        <v>3.2462712598751264</v>
      </c>
      <c r="K43" s="9">
        <v>82.271166490514446</v>
      </c>
      <c r="L43" s="9">
        <v>5066.695344621975</v>
      </c>
      <c r="M43" s="9">
        <v>146.92128919315721</v>
      </c>
      <c r="N43" s="9">
        <v>493.11628044075661</v>
      </c>
      <c r="O43" s="9">
        <v>10908.402599522042</v>
      </c>
      <c r="P43" s="9">
        <v>3786.1877802452077</v>
      </c>
      <c r="Q43" s="9">
        <v>40.84491427945995</v>
      </c>
      <c r="R43" s="9">
        <v>9684.7957219474174</v>
      </c>
      <c r="S43" s="9">
        <v>117.20001466367437</v>
      </c>
      <c r="T43" s="9">
        <v>5509.73486317893</v>
      </c>
      <c r="U43" s="9">
        <v>117.07719466068988</v>
      </c>
      <c r="V43" s="9">
        <v>530.09556542890516</v>
      </c>
      <c r="W43" s="9">
        <v>1924.2800850650776</v>
      </c>
      <c r="X43" s="9">
        <v>227.14909161822206</v>
      </c>
      <c r="Y43" s="9">
        <v>721.18738923747514</v>
      </c>
      <c r="Z43" s="9">
        <v>799.22935540744118</v>
      </c>
      <c r="AA43" s="9">
        <v>368.96503847360242</v>
      </c>
      <c r="AB43" s="9">
        <v>2485.5018477281806</v>
      </c>
      <c r="AC43" s="9">
        <v>2175.4065659509783</v>
      </c>
      <c r="AD43" s="9">
        <v>125.28797014639399</v>
      </c>
      <c r="AE43" s="9">
        <v>3770.5751767465681</v>
      </c>
      <c r="AF43" s="9">
        <v>4489.8666936883665</v>
      </c>
      <c r="AG43" s="9">
        <v>14899.599626965832</v>
      </c>
      <c r="AH43" s="9">
        <v>1532.6831869671612</v>
      </c>
      <c r="AI43" s="9">
        <v>142.29575937891966</v>
      </c>
      <c r="AJ43" s="9">
        <v>2836.981246946812</v>
      </c>
      <c r="AK43" s="9">
        <v>6.3</v>
      </c>
      <c r="AL43" s="9">
        <v>51.593343561614908</v>
      </c>
      <c r="AM43" s="9">
        <v>5.8648540106690792</v>
      </c>
      <c r="AN43" s="9">
        <v>802.90496388918768</v>
      </c>
      <c r="AO43" s="9">
        <v>2980.9299611797196</v>
      </c>
      <c r="AP43" s="9">
        <v>634.81432764155841</v>
      </c>
      <c r="AQ43" s="11">
        <v>4.4236214595776886</v>
      </c>
      <c r="AR43" s="9">
        <v>4440.0701645905729</v>
      </c>
      <c r="AS43" s="9">
        <v>61.831192849518828</v>
      </c>
      <c r="AT43" s="9">
        <v>1248.8376787971304</v>
      </c>
      <c r="AU43" s="9">
        <v>180.26378098608203</v>
      </c>
      <c r="AV43" s="9">
        <f t="shared" si="2"/>
        <v>107885.93025048697</v>
      </c>
    </row>
    <row r="44" spans="1:48" x14ac:dyDescent="0.3">
      <c r="A44" s="3">
        <f t="shared" si="1"/>
        <v>1840</v>
      </c>
      <c r="B44" s="9">
        <v>3846.3844309229175</v>
      </c>
      <c r="C44" s="9">
        <v>2729.4354980299022</v>
      </c>
      <c r="D44" s="9">
        <v>132.07302903095865</v>
      </c>
      <c r="E44" s="9">
        <v>94.276803751560294</v>
      </c>
      <c r="F44" s="9">
        <v>8426.8655183943538</v>
      </c>
      <c r="G44" s="9">
        <v>6423.1333995792702</v>
      </c>
      <c r="H44" s="9">
        <v>54.472356128079561</v>
      </c>
      <c r="I44" s="9">
        <v>2750.0696952680228</v>
      </c>
      <c r="J44" s="9">
        <v>3.2787339724738778</v>
      </c>
      <c r="K44" s="9">
        <v>82.435708823495474</v>
      </c>
      <c r="L44" s="9">
        <v>5101.065909532861</v>
      </c>
      <c r="M44" s="9">
        <v>146.56936508801931</v>
      </c>
      <c r="N44" s="9">
        <v>492.88090229435488</v>
      </c>
      <c r="O44" s="9">
        <v>10903.195714886668</v>
      </c>
      <c r="P44" s="9">
        <v>3778.0011093426638</v>
      </c>
      <c r="Q44" s="9">
        <v>40.825417863311522</v>
      </c>
      <c r="R44" s="9">
        <v>9682.7062290717586</v>
      </c>
      <c r="S44" s="9">
        <v>117.17472878230964</v>
      </c>
      <c r="T44" s="9">
        <v>5502.7159977340461</v>
      </c>
      <c r="U44" s="9">
        <v>117.22084946257755</v>
      </c>
      <c r="V44" s="9">
        <v>529.98119740926052</v>
      </c>
      <c r="W44" s="9">
        <v>1923.8649219946369</v>
      </c>
      <c r="X44" s="9">
        <v>227.10008424395468</v>
      </c>
      <c r="Y44" s="9">
        <v>721.90857662671249</v>
      </c>
      <c r="Z44" s="9">
        <v>798.84786095737445</v>
      </c>
      <c r="AA44" s="9">
        <v>368.88543433517845</v>
      </c>
      <c r="AB44" s="9">
        <v>2482.3355605173747</v>
      </c>
      <c r="AC44" s="9">
        <v>2178.1778219829826</v>
      </c>
      <c r="AD44" s="9">
        <v>125.50576757385403</v>
      </c>
      <c r="AE44" s="9">
        <v>3774.3457519233143</v>
      </c>
      <c r="AF44" s="9">
        <v>4484.1470409335543</v>
      </c>
      <c r="AG44" s="9">
        <v>14896.385041117608</v>
      </c>
      <c r="AH44" s="9">
        <v>1532.6831869671612</v>
      </c>
      <c r="AI44" s="9">
        <v>143.29182969457207</v>
      </c>
      <c r="AJ44" s="9">
        <v>2833.3672092233182</v>
      </c>
      <c r="AK44" s="9">
        <v>6.3</v>
      </c>
      <c r="AL44" s="9">
        <v>51.644936905176515</v>
      </c>
      <c r="AM44" s="9">
        <v>5.7332966409072981</v>
      </c>
      <c r="AN44" s="9">
        <v>802.73173729256723</v>
      </c>
      <c r="AO44" s="9">
        <v>2984.5875898430586</v>
      </c>
      <c r="AP44" s="9">
        <v>635.62301924992926</v>
      </c>
      <c r="AQ44" s="11">
        <v>4.4286340079236677</v>
      </c>
      <c r="AR44" s="9">
        <v>4437.9507953328775</v>
      </c>
      <c r="AS44" s="9">
        <v>61.907060295651426</v>
      </c>
      <c r="AT44" s="9">
        <v>1250.0865164759273</v>
      </c>
      <c r="AU44" s="9">
        <v>180.62430854805419</v>
      </c>
      <c r="AV44" s="9">
        <f t="shared" si="2"/>
        <v>107867.22657805252</v>
      </c>
    </row>
    <row r="45" spans="1:48" x14ac:dyDescent="0.3">
      <c r="A45" s="3">
        <f t="shared" si="1"/>
        <v>1841</v>
      </c>
      <c r="B45" s="9">
        <v>3846.3844309229175</v>
      </c>
      <c r="C45" s="9">
        <v>2722.7371606462352</v>
      </c>
      <c r="D45" s="9">
        <v>132.23311951110696</v>
      </c>
      <c r="E45" s="9">
        <v>94.391080064371266</v>
      </c>
      <c r="F45" s="9">
        <v>8406.1850559435152</v>
      </c>
      <c r="G45" s="9">
        <v>6429.1645550647127</v>
      </c>
      <c r="H45" s="9">
        <v>55.80389246975502</v>
      </c>
      <c r="I45" s="9">
        <v>2743.3207192761743</v>
      </c>
      <c r="J45" s="9">
        <v>3.3115213121986167</v>
      </c>
      <c r="K45" s="9">
        <v>82.600580241142467</v>
      </c>
      <c r="L45" s="9">
        <v>5134.2512825502681</v>
      </c>
      <c r="M45" s="9">
        <v>146.20966761278018</v>
      </c>
      <c r="N45" s="9">
        <v>492.64450812307592</v>
      </c>
      <c r="O45" s="9">
        <v>10897.96635439955</v>
      </c>
      <c r="P45" s="9">
        <v>3769.8321400398177</v>
      </c>
      <c r="Q45" s="9">
        <v>40.80583728963137</v>
      </c>
      <c r="R45" s="9">
        <v>9680.6126701525682</v>
      </c>
      <c r="S45" s="9">
        <v>117.14939369594616</v>
      </c>
      <c r="T45" s="9">
        <v>5497.3993225597769</v>
      </c>
      <c r="U45" s="9">
        <v>117.36293708040191</v>
      </c>
      <c r="V45" s="9">
        <v>529.86660683544892</v>
      </c>
      <c r="W45" s="9">
        <v>1923.4489510386386</v>
      </c>
      <c r="X45" s="9">
        <v>227.05098150390768</v>
      </c>
      <c r="Y45" s="9">
        <v>722.63048520333916</v>
      </c>
      <c r="Z45" s="9">
        <v>798.46471976202702</v>
      </c>
      <c r="AA45" s="9">
        <v>368.80567529127677</v>
      </c>
      <c r="AB45" s="9">
        <v>2479.9371500134994</v>
      </c>
      <c r="AC45" s="9">
        <v>2180.9526083251894</v>
      </c>
      <c r="AD45" s="9">
        <v>125.17907143266397</v>
      </c>
      <c r="AE45" s="9">
        <v>3778.120097675237</v>
      </c>
      <c r="AF45" s="9">
        <v>4479.814498011091</v>
      </c>
      <c r="AG45" s="9">
        <v>14893.164199853945</v>
      </c>
      <c r="AH45" s="9">
        <v>1532.6831869671612</v>
      </c>
      <c r="AI45" s="9">
        <v>144.29487250243406</v>
      </c>
      <c r="AJ45" s="9">
        <v>2830.629635067743</v>
      </c>
      <c r="AK45" s="9">
        <v>6.3</v>
      </c>
      <c r="AL45" s="9">
        <v>51.696581842081684</v>
      </c>
      <c r="AM45" s="9">
        <v>5.6046902979753668</v>
      </c>
      <c r="AN45" s="9">
        <v>802.55817360607637</v>
      </c>
      <c r="AO45" s="9">
        <v>2988.2053160647433</v>
      </c>
      <c r="AP45" s="9">
        <v>636.43274105262458</v>
      </c>
      <c r="AQ45" s="11">
        <v>4.4336522361500688</v>
      </c>
      <c r="AR45" s="9">
        <v>4435.8222776817456</v>
      </c>
      <c r="AS45" s="9">
        <v>61.982100075385546</v>
      </c>
      <c r="AT45" s="9">
        <v>1251.336602992403</v>
      </c>
      <c r="AU45" s="9">
        <v>180.98555716515028</v>
      </c>
      <c r="AV45" s="9">
        <f t="shared" si="2"/>
        <v>107850.7666614539</v>
      </c>
    </row>
    <row r="46" spans="1:48" x14ac:dyDescent="0.3">
      <c r="A46" s="3">
        <f t="shared" si="1"/>
        <v>1842</v>
      </c>
      <c r="B46" s="9">
        <v>3846.3844309229175</v>
      </c>
      <c r="C46" s="9">
        <v>2716.0552617252974</v>
      </c>
      <c r="D46" s="9">
        <v>132.39340404269802</v>
      </c>
      <c r="E46" s="9">
        <v>94.505494895621027</v>
      </c>
      <c r="F46" s="9">
        <v>8385.5553456408197</v>
      </c>
      <c r="G46" s="9">
        <v>6435.2013736485569</v>
      </c>
      <c r="H46" s="9">
        <v>57.167977229659975</v>
      </c>
      <c r="I46" s="9">
        <v>2736.5883060198144</v>
      </c>
      <c r="J46" s="9">
        <v>3.344636525320603</v>
      </c>
      <c r="K46" s="9">
        <v>82.76578140162475</v>
      </c>
      <c r="L46" s="9">
        <v>5167.4366555676752</v>
      </c>
      <c r="M46" s="9">
        <v>145.85085287503273</v>
      </c>
      <c r="N46" s="9">
        <v>492.40822733051374</v>
      </c>
      <c r="O46" s="9">
        <v>10892.739502003806</v>
      </c>
      <c r="P46" s="9">
        <v>3761.6808340614489</v>
      </c>
      <c r="Q46" s="9">
        <v>40.786266107131659</v>
      </c>
      <c r="R46" s="9">
        <v>9678.5195638949426</v>
      </c>
      <c r="S46" s="9">
        <v>117.12406408744131</v>
      </c>
      <c r="T46" s="9">
        <v>5492.0877843096951</v>
      </c>
      <c r="U46" s="9">
        <v>117.50519692775055</v>
      </c>
      <c r="V46" s="9">
        <v>529.75204103798717</v>
      </c>
      <c r="W46" s="9">
        <v>1923.0330700223415</v>
      </c>
      <c r="X46" s="9">
        <v>227.00188938067348</v>
      </c>
      <c r="Y46" s="9">
        <v>723.3531156885424</v>
      </c>
      <c r="Z46" s="9">
        <v>798.08176232779704</v>
      </c>
      <c r="AA46" s="9">
        <v>368.72593349258051</v>
      </c>
      <c r="AB46" s="9">
        <v>2477.5410568324855</v>
      </c>
      <c r="AC46" s="9">
        <v>2183.7309294748702</v>
      </c>
      <c r="AD46" s="9">
        <v>123.38224265611856</v>
      </c>
      <c r="AE46" s="9">
        <v>3781.8982177729117</v>
      </c>
      <c r="AF46" s="9">
        <v>4475.4861411530019</v>
      </c>
      <c r="AG46" s="9">
        <v>14889.944054988666</v>
      </c>
      <c r="AH46" s="9">
        <v>1532.6831869671612</v>
      </c>
      <c r="AI46" s="9">
        <v>145.30493660995108</v>
      </c>
      <c r="AJ46" s="9">
        <v>2827.8947059319285</v>
      </c>
      <c r="AK46" s="9">
        <v>6.3</v>
      </c>
      <c r="AL46" s="9">
        <v>51.748278423923757</v>
      </c>
      <c r="AM46" s="9">
        <v>5.5</v>
      </c>
      <c r="AN46" s="9">
        <v>802.38464744688372</v>
      </c>
      <c r="AO46" s="9">
        <v>2991.8274274628125</v>
      </c>
      <c r="AP46" s="9">
        <v>637.24349436201157</v>
      </c>
      <c r="AQ46" s="11">
        <v>4.4386761506929471</v>
      </c>
      <c r="AR46" s="9">
        <v>4433.6947809043459</v>
      </c>
      <c r="AS46" s="9">
        <v>62.057230813542105</v>
      </c>
      <c r="AT46" s="9">
        <v>1252.5879395953953</v>
      </c>
      <c r="AU46" s="9">
        <v>181.34752827948057</v>
      </c>
      <c r="AV46" s="9">
        <f t="shared" si="2"/>
        <v>107833.04424699389</v>
      </c>
    </row>
    <row r="47" spans="1:48" x14ac:dyDescent="0.3">
      <c r="A47" s="3">
        <f t="shared" si="1"/>
        <v>1843</v>
      </c>
      <c r="B47" s="9">
        <v>3846.3844309229175</v>
      </c>
      <c r="C47" s="9">
        <v>2709.3897609252781</v>
      </c>
      <c r="D47" s="9">
        <v>132.55388286094862</v>
      </c>
      <c r="E47" s="9">
        <v>94.620048413212771</v>
      </c>
      <c r="F47" s="9">
        <v>8364.9762629348697</v>
      </c>
      <c r="G47" s="9">
        <v>6441.2438606483056</v>
      </c>
      <c r="H47" s="9">
        <v>58.56540602973584</v>
      </c>
      <c r="I47" s="9">
        <v>2729.8724148521537</v>
      </c>
      <c r="J47" s="9">
        <v>3.4642356456883512</v>
      </c>
      <c r="K47" s="9">
        <v>82.931312964428002</v>
      </c>
      <c r="L47" s="9">
        <v>5201.8072204785603</v>
      </c>
      <c r="M47" s="9">
        <v>145.49291870844124</v>
      </c>
      <c r="N47" s="9">
        <v>492.17205986228993</v>
      </c>
      <c r="O47" s="9">
        <v>10887.515156496509</v>
      </c>
      <c r="P47" s="9">
        <v>3753.5471532150982</v>
      </c>
      <c r="Q47" s="9">
        <v>40.766704311308217</v>
      </c>
      <c r="R47" s="9">
        <v>9676.4269102010094</v>
      </c>
      <c r="S47" s="9">
        <v>117.09873995561071</v>
      </c>
      <c r="T47" s="9">
        <v>5486.7813780205515</v>
      </c>
      <c r="U47" s="9">
        <v>117.64762921338908</v>
      </c>
      <c r="V47" s="9">
        <v>529.63750001151834</v>
      </c>
      <c r="W47" s="9">
        <v>1922.6172789262992</v>
      </c>
      <c r="X47" s="9">
        <v>226.95280787195654</v>
      </c>
      <c r="Y47" s="9">
        <v>724.0764688042309</v>
      </c>
      <c r="Z47" s="9">
        <v>797.69898856654947</v>
      </c>
      <c r="AA47" s="9">
        <v>368.64620893536096</v>
      </c>
      <c r="AB47" s="9">
        <v>2475.1472787353568</v>
      </c>
      <c r="AC47" s="9">
        <v>2186.5127899350255</v>
      </c>
      <c r="AD47" s="9">
        <v>139.5537016450273</v>
      </c>
      <c r="AE47" s="9">
        <v>3785.680115990684</v>
      </c>
      <c r="AF47" s="9">
        <v>4471.1619663147485</v>
      </c>
      <c r="AG47" s="9">
        <v>14886.724606371195</v>
      </c>
      <c r="AH47" s="9">
        <v>1532.6831869671612</v>
      </c>
      <c r="AI47" s="9">
        <v>146.32207116622072</v>
      </c>
      <c r="AJ47" s="9">
        <v>2825.1624192602799</v>
      </c>
      <c r="AK47" s="9">
        <v>6.3</v>
      </c>
      <c r="AL47" s="9">
        <v>51.800026702347672</v>
      </c>
      <c r="AM47" s="9">
        <v>5.7</v>
      </c>
      <c r="AN47" s="9">
        <v>802.21115880687523</v>
      </c>
      <c r="AO47" s="9">
        <v>2995.4539293526959</v>
      </c>
      <c r="AP47" s="9">
        <v>638.05528049212933</v>
      </c>
      <c r="AQ47" s="11">
        <v>4.4437057579956516</v>
      </c>
      <c r="AR47" s="9">
        <v>4431.5683045110491</v>
      </c>
      <c r="AS47" s="9">
        <v>62.132452620375091</v>
      </c>
      <c r="AT47" s="9">
        <v>1253.8405275349905</v>
      </c>
      <c r="AU47" s="9">
        <v>181.71022333603952</v>
      </c>
      <c r="AV47" s="9">
        <f t="shared" si="2"/>
        <v>107835.05048527638</v>
      </c>
    </row>
    <row r="48" spans="1:48" x14ac:dyDescent="0.3">
      <c r="A48" s="3">
        <f t="shared" si="1"/>
        <v>1844</v>
      </c>
      <c r="B48" s="9">
        <v>3846.3844309229175</v>
      </c>
      <c r="C48" s="9">
        <v>2702.7406180033699</v>
      </c>
      <c r="D48" s="9">
        <v>132.71455620136058</v>
      </c>
      <c r="E48" s="9">
        <v>94.734740785253209</v>
      </c>
      <c r="F48" s="9">
        <v>8344.4476835799269</v>
      </c>
      <c r="G48" s="9">
        <v>6447.2920213864536</v>
      </c>
      <c r="H48" s="9">
        <v>59.996993940312265</v>
      </c>
      <c r="I48" s="9">
        <v>2723.1730052261546</v>
      </c>
      <c r="J48" s="9">
        <v>3.5881114488838008</v>
      </c>
      <c r="K48" s="9">
        <v>83.097175590356855</v>
      </c>
      <c r="L48" s="9">
        <v>5236.1777853894464</v>
      </c>
      <c r="M48" s="9">
        <v>145.13586295198647</v>
      </c>
      <c r="N48" s="9">
        <v>491.93600566405217</v>
      </c>
      <c r="O48" s="9">
        <v>10882.293316675316</v>
      </c>
      <c r="P48" s="9">
        <v>3745.4310593908867</v>
      </c>
      <c r="Q48" s="9">
        <v>40.74715189765903</v>
      </c>
      <c r="R48" s="9">
        <v>9674.3347089729159</v>
      </c>
      <c r="S48" s="9">
        <v>117.07342129927021</v>
      </c>
      <c r="T48" s="9">
        <v>5481.4800987338904</v>
      </c>
      <c r="U48" s="9">
        <v>117.79023414633619</v>
      </c>
      <c r="V48" s="9">
        <v>529.52298375068654</v>
      </c>
      <c r="W48" s="9">
        <v>1922.2015777310694</v>
      </c>
      <c r="X48" s="9">
        <v>226.90373697546184</v>
      </c>
      <c r="Y48" s="9">
        <v>724.80054527303503</v>
      </c>
      <c r="Z48" s="9">
        <v>797.31639839019158</v>
      </c>
      <c r="AA48" s="9">
        <v>368.56650161589022</v>
      </c>
      <c r="AB48" s="9">
        <v>2472.7558134852998</v>
      </c>
      <c r="AC48" s="9">
        <v>2189.298194214392</v>
      </c>
      <c r="AD48" s="9">
        <v>159.917761112542</v>
      </c>
      <c r="AE48" s="9">
        <v>3789.4657961066741</v>
      </c>
      <c r="AF48" s="9">
        <v>4466.8419694557006</v>
      </c>
      <c r="AG48" s="9">
        <v>14883.505853850995</v>
      </c>
      <c r="AH48" s="9">
        <v>1532.6831869671612</v>
      </c>
      <c r="AI48" s="9">
        <v>147.34632566438427</v>
      </c>
      <c r="AJ48" s="9">
        <v>2822.432772499672</v>
      </c>
      <c r="AK48" s="9">
        <v>6.3</v>
      </c>
      <c r="AL48" s="9">
        <v>51.851826729050018</v>
      </c>
      <c r="AM48" s="9">
        <v>5.8</v>
      </c>
      <c r="AN48" s="9">
        <v>802.03770767793867</v>
      </c>
      <c r="AO48" s="9">
        <v>2999.0848270562669</v>
      </c>
      <c r="AP48" s="9">
        <v>638.86810075869084</v>
      </c>
      <c r="AQ48" s="11">
        <v>4.448741064508833</v>
      </c>
      <c r="AR48" s="9">
        <v>4429.4428480124625</v>
      </c>
      <c r="AS48" s="9">
        <v>62.207765606272126</v>
      </c>
      <c r="AT48" s="9">
        <v>1255.0943680625253</v>
      </c>
      <c r="AU48" s="9">
        <v>182.0736437827116</v>
      </c>
      <c r="AV48" s="9">
        <f t="shared" si="2"/>
        <v>107841.33822805031</v>
      </c>
    </row>
    <row r="49" spans="1:48" x14ac:dyDescent="0.3">
      <c r="A49" s="3">
        <f t="shared" si="1"/>
        <v>1845</v>
      </c>
      <c r="B49" s="9">
        <v>3846.3844309229175</v>
      </c>
      <c r="C49" s="9">
        <v>2696.1077928155264</v>
      </c>
      <c r="D49" s="9">
        <v>132.87542429972126</v>
      </c>
      <c r="E49" s="9">
        <v>94.849572180052832</v>
      </c>
      <c r="F49" s="9">
        <v>8323.9694836351682</v>
      </c>
      <c r="G49" s="9">
        <v>6453.3458611904944</v>
      </c>
      <c r="H49" s="9">
        <v>61.463575955508546</v>
      </c>
      <c r="I49" s="9">
        <v>2716.4900366942861</v>
      </c>
      <c r="J49" s="9">
        <v>3.716416862586958</v>
      </c>
      <c r="K49" s="9">
        <v>83.263369941537576</v>
      </c>
      <c r="L49" s="9">
        <v>5270.5483503003325</v>
      </c>
      <c r="M49" s="9">
        <v>144.77968344995253</v>
      </c>
      <c r="N49" s="9">
        <v>491.70006468147426</v>
      </c>
      <c r="O49" s="9">
        <v>10877.073981338453</v>
      </c>
      <c r="P49" s="9">
        <v>3737.3325145613394</v>
      </c>
      <c r="Q49" s="9">
        <v>40.727608861684246</v>
      </c>
      <c r="R49" s="9">
        <v>9672.2429601128315</v>
      </c>
      <c r="S49" s="9">
        <v>117.04810811723591</v>
      </c>
      <c r="T49" s="9">
        <v>5476.1839414960477</v>
      </c>
      <c r="U49" s="9">
        <v>117.93301193586389</v>
      </c>
      <c r="V49" s="9">
        <v>529.40849225013699</v>
      </c>
      <c r="W49" s="9">
        <v>1921.785966417214</v>
      </c>
      <c r="X49" s="9">
        <v>226.85467668889484</v>
      </c>
      <c r="Y49" s="9">
        <v>725.52534581830798</v>
      </c>
      <c r="Z49" s="9">
        <v>796.9339917106729</v>
      </c>
      <c r="AA49" s="9">
        <v>368.48681153044117</v>
      </c>
      <c r="AB49" s="9">
        <v>2470.3666588476622</v>
      </c>
      <c r="AC49" s="9">
        <v>2192.0871468274499</v>
      </c>
      <c r="AD49" s="9">
        <v>166.94172814812865</v>
      </c>
      <c r="AE49" s="9">
        <v>3793.2552619027806</v>
      </c>
      <c r="AF49" s="9">
        <v>4462.5261465391313</v>
      </c>
      <c r="AG49" s="9">
        <v>14880.287797277557</v>
      </c>
      <c r="AH49" s="9">
        <v>1532.6831869671612</v>
      </c>
      <c r="AI49" s="9">
        <v>148.37774994403495</v>
      </c>
      <c r="AJ49" s="9">
        <v>2819.7057630994459</v>
      </c>
      <c r="AK49" s="9">
        <v>6.3</v>
      </c>
      <c r="AL49" s="9">
        <v>51.903678555779059</v>
      </c>
      <c r="AM49" s="9">
        <v>5.9</v>
      </c>
      <c r="AN49" s="9">
        <v>801.8642940519635</v>
      </c>
      <c r="AO49" s="9">
        <v>3002.7201259018502</v>
      </c>
      <c r="AP49" s="9">
        <v>639.6819564790851</v>
      </c>
      <c r="AQ49" s="11">
        <v>4.4537820766904499</v>
      </c>
      <c r="AR49" s="9">
        <v>4427.3184109194262</v>
      </c>
      <c r="AS49" s="9">
        <v>62.283169881754645</v>
      </c>
      <c r="AT49" s="9">
        <v>1256.3494624305877</v>
      </c>
      <c r="AU49" s="9">
        <v>182.43779107027703</v>
      </c>
      <c r="AV49" s="9">
        <f t="shared" si="2"/>
        <v>107834.47558468945</v>
      </c>
    </row>
    <row r="50" spans="1:48" x14ac:dyDescent="0.3">
      <c r="A50" s="3">
        <f t="shared" si="1"/>
        <v>1846</v>
      </c>
      <c r="B50" s="9">
        <v>3846.3844309229175</v>
      </c>
      <c r="C50" s="9">
        <v>2689.4912453162187</v>
      </c>
      <c r="D50" s="9">
        <v>133.03648739210377</v>
      </c>
      <c r="E50" s="9">
        <v>94.964542766126144</v>
      </c>
      <c r="F50" s="9">
        <v>8303.5415394639349</v>
      </c>
      <c r="G50" s="9">
        <v>6459.4053853929227</v>
      </c>
      <c r="H50" s="9">
        <v>62.966007480255868</v>
      </c>
      <c r="I50" s="9">
        <v>2709.8234689082801</v>
      </c>
      <c r="J50" s="9">
        <v>3.8493102829393124</v>
      </c>
      <c r="K50" s="9">
        <v>83.429896681420658</v>
      </c>
      <c r="L50" s="9">
        <v>5304.9189152112185</v>
      </c>
      <c r="M50" s="9">
        <v>144.42437805191389</v>
      </c>
      <c r="N50" s="9">
        <v>491.46423686025599</v>
      </c>
      <c r="O50" s="9">
        <v>10871.857149284728</v>
      </c>
      <c r="P50" s="9">
        <v>3729.2514807812058</v>
      </c>
      <c r="Q50" s="9">
        <v>40.708075198886171</v>
      </c>
      <c r="R50" s="9">
        <v>9670.1516635229473</v>
      </c>
      <c r="S50" s="9">
        <v>117.02280040832419</v>
      </c>
      <c r="T50" s="9">
        <v>5470.8929013581455</v>
      </c>
      <c r="U50" s="9">
        <v>118.07596279149787</v>
      </c>
      <c r="V50" s="9">
        <v>529.29402550451607</v>
      </c>
      <c r="W50" s="9">
        <v>1921.3704449652994</v>
      </c>
      <c r="X50" s="9">
        <v>226.80562700996148</v>
      </c>
      <c r="Y50" s="9">
        <v>726.25087116412624</v>
      </c>
      <c r="Z50" s="9">
        <v>796.55176843998515</v>
      </c>
      <c r="AA50" s="9">
        <v>368.40713867528763</v>
      </c>
      <c r="AB50" s="9">
        <v>2467.9798125899511</v>
      </c>
      <c r="AC50" s="9">
        <v>2194.8796522944308</v>
      </c>
      <c r="AD50" s="9">
        <v>173.80234711312022</v>
      </c>
      <c r="AE50" s="9">
        <v>3797.0485171646828</v>
      </c>
      <c r="AF50" s="9">
        <v>4458.2144935322158</v>
      </c>
      <c r="AG50" s="9">
        <v>14877.070436500406</v>
      </c>
      <c r="AH50" s="9">
        <v>1532.6831869671612</v>
      </c>
      <c r="AI50" s="9">
        <v>149.41639419364319</v>
      </c>
      <c r="AJ50" s="9">
        <v>2816.9813885114081</v>
      </c>
      <c r="AK50" s="9">
        <v>6.3</v>
      </c>
      <c r="AL50" s="9">
        <v>51.955582234334834</v>
      </c>
      <c r="AM50" s="9">
        <v>5.9930693934994759</v>
      </c>
      <c r="AN50" s="9">
        <v>801.690917920841</v>
      </c>
      <c r="AO50" s="9">
        <v>3006.3598312242284</v>
      </c>
      <c r="AP50" s="9">
        <v>640.49684897237955</v>
      </c>
      <c r="AQ50" s="11">
        <v>4.4588288010057804</v>
      </c>
      <c r="AR50" s="9">
        <v>4425.194992743016</v>
      </c>
      <c r="AS50" s="9">
        <v>62.358665557478048</v>
      </c>
      <c r="AT50" s="9">
        <v>1257.6058118930182</v>
      </c>
      <c r="AU50" s="9">
        <v>182.80266665241757</v>
      </c>
      <c r="AV50" s="9">
        <f t="shared" si="2"/>
        <v>107827.63319809469</v>
      </c>
    </row>
    <row r="51" spans="1:48" x14ac:dyDescent="0.3">
      <c r="A51" s="3">
        <f t="shared" si="1"/>
        <v>1847</v>
      </c>
      <c r="B51" s="9">
        <v>3846.3844309229175</v>
      </c>
      <c r="C51" s="9">
        <v>2682.8909355581936</v>
      </c>
      <c r="D51" s="9">
        <v>133.19774571486741</v>
      </c>
      <c r="E51" s="9">
        <v>95.079652712191887</v>
      </c>
      <c r="F51" s="9">
        <v>8283.1637277329864</v>
      </c>
      <c r="G51" s="9">
        <v>6465.4705993312418</v>
      </c>
      <c r="H51" s="9">
        <v>64.505164829224498</v>
      </c>
      <c r="I51" s="9">
        <v>2703.1732616188874</v>
      </c>
      <c r="J51" s="9">
        <v>3.9869557700877083</v>
      </c>
      <c r="K51" s="9">
        <v>83.596756474783504</v>
      </c>
      <c r="L51" s="9">
        <v>5336.7484287024863</v>
      </c>
      <c r="M51" s="9">
        <v>144.06994461272245</v>
      </c>
      <c r="N51" s="9">
        <v>491.22852214612323</v>
      </c>
      <c r="O51" s="9">
        <v>10866.642819313522</v>
      </c>
      <c r="P51" s="9">
        <v>3721.1879201872821</v>
      </c>
      <c r="Q51" s="9">
        <v>40.688550904769265</v>
      </c>
      <c r="R51" s="9">
        <v>9668.0608191054744</v>
      </c>
      <c r="S51" s="9">
        <v>116.99749817135165</v>
      </c>
      <c r="T51" s="9">
        <v>5465.6069733760878</v>
      </c>
      <c r="U51" s="9">
        <v>118.21908692301781</v>
      </c>
      <c r="V51" s="9">
        <v>529.17958350847141</v>
      </c>
      <c r="W51" s="9">
        <v>1920.955013355896</v>
      </c>
      <c r="X51" s="9">
        <v>226.75658793636825</v>
      </c>
      <c r="Y51" s="9">
        <v>726.97712203529034</v>
      </c>
      <c r="Z51" s="9">
        <v>796.16972849016236</v>
      </c>
      <c r="AA51" s="9">
        <v>368.32748304670406</v>
      </c>
      <c r="AB51" s="9">
        <v>2465.5952724818303</v>
      </c>
      <c r="AC51" s="9">
        <v>2197.6757151413244</v>
      </c>
      <c r="AD51" s="9">
        <v>176.79706174069594</v>
      </c>
      <c r="AE51" s="9">
        <v>3800.8455656818469</v>
      </c>
      <c r="AF51" s="9">
        <v>4453.9070064060234</v>
      </c>
      <c r="AG51" s="9">
        <v>14873.853771369098</v>
      </c>
      <c r="AH51" s="9">
        <v>1532.6831869671612</v>
      </c>
      <c r="AI51" s="9">
        <v>150.46230895299868</v>
      </c>
      <c r="AJ51" s="9">
        <v>2814.2596461898265</v>
      </c>
      <c r="AK51" s="9">
        <v>6.3</v>
      </c>
      <c r="AL51" s="9">
        <v>52.007537816569162</v>
      </c>
      <c r="AM51" s="9">
        <v>6.0876069076779951</v>
      </c>
      <c r="AN51" s="9">
        <v>801.51757927646418</v>
      </c>
      <c r="AO51" s="9">
        <v>3010.003948364651</v>
      </c>
      <c r="AP51" s="9">
        <v>641.31277955932183</v>
      </c>
      <c r="AQ51" s="11">
        <v>4.4638812439274265</v>
      </c>
      <c r="AR51" s="9">
        <v>4423.072592994542</v>
      </c>
      <c r="AS51" s="9">
        <v>62.434252744231856</v>
      </c>
      <c r="AT51" s="9">
        <v>1258.8634177049112</v>
      </c>
      <c r="AU51" s="9">
        <v>183.16827198572241</v>
      </c>
      <c r="AV51" s="9">
        <f t="shared" si="2"/>
        <v>107814.57671600992</v>
      </c>
    </row>
    <row r="52" spans="1:48" x14ac:dyDescent="0.3">
      <c r="A52" s="3">
        <f t="shared" si="1"/>
        <v>1848</v>
      </c>
      <c r="B52" s="9">
        <v>3846.3844309229175</v>
      </c>
      <c r="C52" s="9">
        <v>2676.306823692234</v>
      </c>
      <c r="D52" s="9">
        <v>133.35919950465797</v>
      </c>
      <c r="E52" s="9">
        <v>95.194902187173341</v>
      </c>
      <c r="F52" s="9">
        <v>8262.8359254117531</v>
      </c>
      <c r="G52" s="9">
        <v>6471.5415083479656</v>
      </c>
      <c r="H52" s="9">
        <v>66.081945737946796</v>
      </c>
      <c r="I52" s="9">
        <v>2696.5393746756349</v>
      </c>
      <c r="J52" s="9">
        <v>4.1295232507205712</v>
      </c>
      <c r="K52" s="9">
        <v>83.763949987733071</v>
      </c>
      <c r="L52" s="9">
        <v>5400.789409846916</v>
      </c>
      <c r="M52" s="9">
        <v>143.71638099249446</v>
      </c>
      <c r="N52" s="9">
        <v>490.99292048482783</v>
      </c>
      <c r="O52" s="9">
        <v>10861.430990224795</v>
      </c>
      <c r="P52" s="9">
        <v>3713.1417949982347</v>
      </c>
      <c r="Q52" s="9">
        <v>40.669035974840149</v>
      </c>
      <c r="R52" s="9">
        <v>9665.9704267626457</v>
      </c>
      <c r="S52" s="9">
        <v>116.97220140513519</v>
      </c>
      <c r="T52" s="9">
        <v>5460.3261526105553</v>
      </c>
      <c r="U52" s="9">
        <v>118.36238454045765</v>
      </c>
      <c r="V52" s="9">
        <v>529.06516625665176</v>
      </c>
      <c r="W52" s="9">
        <v>1920.5396715695781</v>
      </c>
      <c r="X52" s="9">
        <v>226.70755946582207</v>
      </c>
      <c r="Y52" s="9">
        <v>727.70409915732557</v>
      </c>
      <c r="Z52" s="9">
        <v>795.7878717732807</v>
      </c>
      <c r="AA52" s="9">
        <v>368.24784464096581</v>
      </c>
      <c r="AB52" s="9">
        <v>2463.2130362951184</v>
      </c>
      <c r="AC52" s="9">
        <v>2200.4753398998864</v>
      </c>
      <c r="AD52" s="9">
        <v>179.13838408589146</v>
      </c>
      <c r="AE52" s="9">
        <v>3804.6464112475282</v>
      </c>
      <c r="AF52" s="9">
        <v>4449.6036811355179</v>
      </c>
      <c r="AG52" s="9">
        <v>14870.637801733226</v>
      </c>
      <c r="AH52" s="9">
        <v>1532.6831869671612</v>
      </c>
      <c r="AI52" s="9">
        <v>151.51554511566965</v>
      </c>
      <c r="AJ52" s="9">
        <v>2811.5405335914284</v>
      </c>
      <c r="AK52" s="9">
        <v>6.3</v>
      </c>
      <c r="AL52" s="9">
        <v>52.059545354385726</v>
      </c>
      <c r="AM52" s="9">
        <v>6.1836357013662679</v>
      </c>
      <c r="AN52" s="9">
        <v>801.34427811072771</v>
      </c>
      <c r="AO52" s="9">
        <v>3013.6524826708419</v>
      </c>
      <c r="AP52" s="9">
        <v>642.129749562342</v>
      </c>
      <c r="AQ52" s="11">
        <v>4.4689394119353265</v>
      </c>
      <c r="AR52" s="9">
        <v>4420.9512111855483</v>
      </c>
      <c r="AS52" s="9">
        <v>62.509931552939889</v>
      </c>
      <c r="AT52" s="9">
        <v>1260.122281122616</v>
      </c>
      <c r="AU52" s="9">
        <v>183.53460852969386</v>
      </c>
      <c r="AV52" s="9">
        <f t="shared" si="2"/>
        <v>107833.27207769708</v>
      </c>
    </row>
    <row r="53" spans="1:48" x14ac:dyDescent="0.3">
      <c r="A53" s="3">
        <f t="shared" si="1"/>
        <v>1849</v>
      </c>
      <c r="B53" s="9">
        <v>3846.3844309229175</v>
      </c>
      <c r="C53" s="9">
        <v>2669.7388699669159</v>
      </c>
      <c r="D53" s="9">
        <v>133.52084899840804</v>
      </c>
      <c r="E53" s="9">
        <v>95.310291360198534</v>
      </c>
      <c r="F53" s="9">
        <v>8242.5580097715992</v>
      </c>
      <c r="G53" s="9">
        <v>6477.6181177906246</v>
      </c>
      <c r="H53" s="9">
        <v>67.69726988643437</v>
      </c>
      <c r="I53" s="9">
        <v>2689.9217680265833</v>
      </c>
      <c r="J53" s="9">
        <v>4.2771887278465206</v>
      </c>
      <c r="K53" s="9">
        <v>83.931477887708539</v>
      </c>
      <c r="L53" s="9">
        <v>5465.598882765079</v>
      </c>
      <c r="M53" s="9">
        <v>143.36368505659777</v>
      </c>
      <c r="N53" s="9">
        <v>490.75743182214779</v>
      </c>
      <c r="O53" s="9">
        <v>10856.221660819079</v>
      </c>
      <c r="P53" s="9">
        <v>3705.1130675144218</v>
      </c>
      <c r="Q53" s="9">
        <v>40.649530404607596</v>
      </c>
      <c r="R53" s="9">
        <v>9663.8804863967162</v>
      </c>
      <c r="S53" s="9">
        <v>116.94691010849193</v>
      </c>
      <c r="T53" s="9">
        <v>5455.0504341270007</v>
      </c>
      <c r="U53" s="9">
        <v>118.50585585410595</v>
      </c>
      <c r="V53" s="9">
        <v>528.95077374370703</v>
      </c>
      <c r="W53" s="9">
        <v>1920.1244195869247</v>
      </c>
      <c r="X53" s="9">
        <v>226.65854159603043</v>
      </c>
      <c r="Y53" s="9">
        <v>728.43180325648279</v>
      </c>
      <c r="Z53" s="9">
        <v>795.40619820145844</v>
      </c>
      <c r="AA53" s="9">
        <v>368.168223454349</v>
      </c>
      <c r="AB53" s="9">
        <v>2460.833101803787</v>
      </c>
      <c r="AC53" s="9">
        <v>2203.278531107645</v>
      </c>
      <c r="AD53" s="9">
        <v>183.11318713703741</v>
      </c>
      <c r="AE53" s="9">
        <v>3808.4510576587754</v>
      </c>
      <c r="AF53" s="9">
        <v>4445.3045136995515</v>
      </c>
      <c r="AG53" s="9">
        <v>14867.42252744241</v>
      </c>
      <c r="AH53" s="9">
        <v>1532.6831869671612</v>
      </c>
      <c r="AI53" s="9">
        <v>152.57615393147933</v>
      </c>
      <c r="AJ53" s="9">
        <v>2808.8240481753987</v>
      </c>
      <c r="AK53" s="9">
        <v>6.3</v>
      </c>
      <c r="AL53" s="9">
        <v>52.111604899740108</v>
      </c>
      <c r="AM53" s="9">
        <v>6.2811792987133632</v>
      </c>
      <c r="AN53" s="9">
        <v>801.17101441552825</v>
      </c>
      <c r="AO53" s="9">
        <v>3017.3054394970068</v>
      </c>
      <c r="AP53" s="9">
        <v>642.94776030555499</v>
      </c>
      <c r="AQ53" s="11">
        <v>4.4740033115167606</v>
      </c>
      <c r="AR53" s="9">
        <v>4418.8308468278137</v>
      </c>
      <c r="AS53" s="9">
        <v>62.585702094660427</v>
      </c>
      <c r="AT53" s="9">
        <v>1261.3824034037384</v>
      </c>
      <c r="AU53" s="9">
        <v>183.90167774675325</v>
      </c>
      <c r="AV53" s="9">
        <f t="shared" si="2"/>
        <v>107854.56411777071</v>
      </c>
    </row>
    <row r="54" spans="1:48" x14ac:dyDescent="0.3">
      <c r="A54" s="3">
        <f t="shared" si="1"/>
        <v>1850</v>
      </c>
      <c r="B54" s="9">
        <v>3846.3844309229175</v>
      </c>
      <c r="C54" s="9">
        <v>2663.1870347283707</v>
      </c>
      <c r="D54" s="9">
        <v>133.68269443333747</v>
      </c>
      <c r="E54" s="9">
        <v>95.425820400600514</v>
      </c>
      <c r="F54" s="9">
        <v>8222.3298583850774</v>
      </c>
      <c r="G54" s="9">
        <v>6483.7004330117716</v>
      </c>
      <c r="H54" s="9">
        <v>69.352079435594533</v>
      </c>
      <c r="I54" s="9">
        <v>2683.3204017180856</v>
      </c>
      <c r="J54" s="9">
        <v>4.4301344980743513</v>
      </c>
      <c r="K54" s="9">
        <v>84.099340843483958</v>
      </c>
      <c r="L54" s="9">
        <v>5531.1860693582603</v>
      </c>
      <c r="M54" s="9">
        <v>143.01185467563877</v>
      </c>
      <c r="N54" s="9">
        <v>490.522056103887</v>
      </c>
      <c r="O54" s="9">
        <v>10851.014829897484</v>
      </c>
      <c r="P54" s="9">
        <v>3697.1017001177179</v>
      </c>
      <c r="Q54" s="9">
        <v>40.630034189582538</v>
      </c>
      <c r="R54" s="9">
        <v>9661.7909979099604</v>
      </c>
      <c r="S54" s="9">
        <v>116.92162428023927</v>
      </c>
      <c r="T54" s="9">
        <v>5449.7798129956436</v>
      </c>
      <c r="U54" s="9">
        <v>118.64950107450611</v>
      </c>
      <c r="V54" s="9">
        <v>528.83640596428825</v>
      </c>
      <c r="W54" s="9">
        <v>1919.7092573885188</v>
      </c>
      <c r="X54" s="9">
        <v>226.60953432470126</v>
      </c>
      <c r="Y54" s="9">
        <v>729.16023505973919</v>
      </c>
      <c r="Z54" s="9">
        <v>795.024707686856</v>
      </c>
      <c r="AA54" s="9">
        <v>368.08861948313063</v>
      </c>
      <c r="AB54" s="9">
        <v>2458.4554667839589</v>
      </c>
      <c r="AC54" s="9">
        <v>2206.0852933079091</v>
      </c>
      <c r="AD54" s="9">
        <v>188.44922410980863</v>
      </c>
      <c r="AE54" s="9">
        <v>3812.2595087164336</v>
      </c>
      <c r="AF54" s="9">
        <v>4441.0095000808606</v>
      </c>
      <c r="AG54" s="9">
        <v>14864.207948346306</v>
      </c>
      <c r="AH54" s="9">
        <v>1532.6831869671612</v>
      </c>
      <c r="AI54" s="9">
        <v>153.64418700899967</v>
      </c>
      <c r="AJ54" s="9">
        <v>2806.110187403377</v>
      </c>
      <c r="AK54" s="9">
        <v>6.3</v>
      </c>
      <c r="AL54" s="9">
        <v>52.163716504639844</v>
      </c>
      <c r="AM54" s="9">
        <v>6.3802615949494159</v>
      </c>
      <c r="AN54" s="9">
        <v>800.99778818276388</v>
      </c>
      <c r="AO54" s="9">
        <v>3020.9628242038416</v>
      </c>
      <c r="AP54" s="9">
        <v>643.76681311476239</v>
      </c>
      <c r="AQ54" s="11">
        <v>4.4790729491663592</v>
      </c>
      <c r="AR54" s="9">
        <v>4416.7114994333515</v>
      </c>
      <c r="AS54" s="9">
        <v>62.661564480586357</v>
      </c>
      <c r="AT54" s="9">
        <v>1262.643785807142</v>
      </c>
      <c r="AU54" s="9">
        <v>184.26948110224674</v>
      </c>
      <c r="AV54" s="9">
        <f t="shared" si="2"/>
        <v>107878.19077898577</v>
      </c>
    </row>
    <row r="55" spans="1:48" x14ac:dyDescent="0.3">
      <c r="A55" s="3">
        <f t="shared" si="1"/>
        <v>1851</v>
      </c>
      <c r="B55" s="9">
        <v>3846.3844309229175</v>
      </c>
      <c r="C55" s="9">
        <v>2681.6145449455062</v>
      </c>
      <c r="D55" s="9">
        <v>135.03302468013888</v>
      </c>
      <c r="E55" s="9">
        <v>96.389717576364177</v>
      </c>
      <c r="F55" s="9">
        <v>8227.022976678787</v>
      </c>
      <c r="G55" s="9">
        <v>6516.0013666767663</v>
      </c>
      <c r="H55" s="9">
        <v>71.047339576759157</v>
      </c>
      <c r="I55" s="9">
        <v>2695.9647825428769</v>
      </c>
      <c r="J55" s="9">
        <v>4.5885493766626073</v>
      </c>
      <c r="K55" s="9">
        <v>84.267539525170932</v>
      </c>
      <c r="L55" s="9">
        <v>5597.5603021905599</v>
      </c>
      <c r="M55" s="9">
        <v>143.86992580369261</v>
      </c>
      <c r="N55" s="9">
        <v>490.522056103887</v>
      </c>
      <c r="O55" s="9">
        <v>10851.014829897484</v>
      </c>
      <c r="P55" s="9">
        <v>3701.3019706862324</v>
      </c>
      <c r="Q55" s="9">
        <v>40.630034189582538</v>
      </c>
      <c r="R55" s="9">
        <v>9696.2186808022379</v>
      </c>
      <c r="S55" s="9">
        <v>117.6231540259207</v>
      </c>
      <c r="T55" s="9">
        <v>5444.3300331826467</v>
      </c>
      <c r="U55" s="9">
        <v>119.8479808833395</v>
      </c>
      <c r="V55" s="9">
        <v>532.00942440007395</v>
      </c>
      <c r="W55" s="9">
        <v>1930.3005180095483</v>
      </c>
      <c r="X55" s="9">
        <v>227.28936292767531</v>
      </c>
      <c r="Y55" s="9">
        <v>729.88939529479887</v>
      </c>
      <c r="Z55" s="9">
        <v>795.024707686856</v>
      </c>
      <c r="AA55" s="9">
        <v>369.92906258054626</v>
      </c>
      <c r="AB55" s="9">
        <v>2465.8308331843109</v>
      </c>
      <c r="AC55" s="9">
        <v>2205.0123025221787</v>
      </c>
      <c r="AD55" s="9">
        <v>196.45327956896548</v>
      </c>
      <c r="AE55" s="9">
        <v>3816.0717682251498</v>
      </c>
      <c r="AF55" s="9">
        <v>4441.0095000808606</v>
      </c>
      <c r="AG55" s="9">
        <v>14921.190576811896</v>
      </c>
      <c r="AH55" s="9">
        <v>1534.1833680124139</v>
      </c>
      <c r="AI55" s="9">
        <v>154.71969631806266</v>
      </c>
      <c r="AJ55" s="9">
        <v>2815.3891680931329</v>
      </c>
      <c r="AK55" s="9">
        <v>6.3</v>
      </c>
      <c r="AL55" s="9">
        <v>52.215880221144481</v>
      </c>
      <c r="AM55" s="9">
        <v>6.8</v>
      </c>
      <c r="AN55" s="9">
        <v>805.00277712367756</v>
      </c>
      <c r="AO55" s="9">
        <v>3051.4776002059007</v>
      </c>
      <c r="AP55" s="9">
        <v>650.26950819672982</v>
      </c>
      <c r="AQ55" s="11">
        <v>4.5243161102690497</v>
      </c>
      <c r="AR55" s="9">
        <v>4403.4613649350522</v>
      </c>
      <c r="AS55" s="9">
        <v>63.294509576349846</v>
      </c>
      <c r="AT55" s="9">
        <v>1268.9570047361776</v>
      </c>
      <c r="AU55" s="9">
        <v>184.63802006445124</v>
      </c>
      <c r="AV55" s="9">
        <f t="shared" si="2"/>
        <v>108192.47718515374</v>
      </c>
    </row>
    <row r="56" spans="1:48" x14ac:dyDescent="0.3">
      <c r="A56" s="3">
        <f t="shared" si="1"/>
        <v>1852</v>
      </c>
      <c r="B56" s="9">
        <v>3846.3844309229175</v>
      </c>
      <c r="C56" s="9">
        <v>2700.16956146557</v>
      </c>
      <c r="D56" s="9">
        <v>136.39699462640291</v>
      </c>
      <c r="E56" s="9">
        <v>97.363351087236538</v>
      </c>
      <c r="F56" s="9">
        <v>8231.7187736973483</v>
      </c>
      <c r="G56" s="9">
        <v>6548.4697008680187</v>
      </c>
      <c r="H56" s="9">
        <v>72.784039094646289</v>
      </c>
      <c r="I56" s="9">
        <v>2708.6687464000702</v>
      </c>
      <c r="J56" s="9">
        <v>4.7526289306165976</v>
      </c>
      <c r="K56" s="9">
        <v>84.436074604221275</v>
      </c>
      <c r="L56" s="9">
        <v>5664.7310258168463</v>
      </c>
      <c r="M56" s="9">
        <v>144.73314535851478</v>
      </c>
      <c r="N56" s="9">
        <v>490.522056103887</v>
      </c>
      <c r="O56" s="9">
        <v>10851.014829897484</v>
      </c>
      <c r="P56" s="9">
        <v>3705.5151915432853</v>
      </c>
      <c r="Q56" s="9">
        <v>40.630034189582538</v>
      </c>
      <c r="R56" s="9">
        <v>9730.8033172528121</v>
      </c>
      <c r="S56" s="9">
        <v>118.32889295007622</v>
      </c>
      <c r="T56" s="9">
        <v>5438.8857031494636</v>
      </c>
      <c r="U56" s="9">
        <v>121.05856654882778</v>
      </c>
      <c r="V56" s="9">
        <v>535.20148094647436</v>
      </c>
      <c r="W56" s="9">
        <v>1940.9502118548335</v>
      </c>
      <c r="X56" s="9">
        <v>227.97123101645832</v>
      </c>
      <c r="Y56" s="9">
        <v>730.61928469009354</v>
      </c>
      <c r="Z56" s="9">
        <v>795.024707686856</v>
      </c>
      <c r="AA56" s="9">
        <v>371.77870789344894</v>
      </c>
      <c r="AB56" s="9">
        <v>2473.2283256838632</v>
      </c>
      <c r="AC56" s="9">
        <v>2203.9398336152849</v>
      </c>
      <c r="AD56" s="9">
        <v>200.46253017241375</v>
      </c>
      <c r="AE56" s="9">
        <v>3819.8878399933747</v>
      </c>
      <c r="AF56" s="9">
        <v>4441.0095000808606</v>
      </c>
      <c r="AG56" s="9">
        <v>14978.391650818492</v>
      </c>
      <c r="AH56" s="9">
        <v>1535.6850174258116</v>
      </c>
      <c r="AI56" s="9">
        <v>155.80273419228908</v>
      </c>
      <c r="AJ56" s="9">
        <v>2824.7162649865923</v>
      </c>
      <c r="AK56" s="9">
        <v>6.3</v>
      </c>
      <c r="AL56" s="9">
        <v>52.268096101365622</v>
      </c>
      <c r="AM56" s="9">
        <v>6.8666266776849376</v>
      </c>
      <c r="AN56" s="9">
        <v>809.02779100929581</v>
      </c>
      <c r="AO56" s="9">
        <v>3082.3006062685872</v>
      </c>
      <c r="AP56" s="9">
        <v>656.83788706740393</v>
      </c>
      <c r="AQ56" s="11">
        <v>4.5700162729990419</v>
      </c>
      <c r="AR56" s="9">
        <v>4390.2509808402474</v>
      </c>
      <c r="AS56" s="9">
        <v>63.933848056919025</v>
      </c>
      <c r="AT56" s="9">
        <v>1275.3017897598584</v>
      </c>
      <c r="AU56" s="9">
        <v>185.00729610458015</v>
      </c>
      <c r="AV56" s="9">
        <f t="shared" si="2"/>
        <v>108504.70132372393</v>
      </c>
    </row>
    <row r="57" spans="1:48" x14ac:dyDescent="0.3">
      <c r="A57" s="3">
        <f t="shared" si="1"/>
        <v>1853</v>
      </c>
      <c r="B57" s="9">
        <v>3846.3844309229175</v>
      </c>
      <c r="C57" s="9">
        <v>2718.8529665486762</v>
      </c>
      <c r="D57" s="9">
        <v>137.77474204687167</v>
      </c>
      <c r="E57" s="9">
        <v>98.346819280036911</v>
      </c>
      <c r="F57" s="9">
        <v>8236.4172509697146</v>
      </c>
      <c r="G57" s="9">
        <v>6581.1063343683836</v>
      </c>
      <c r="H57" s="9">
        <v>74.563190944083019</v>
      </c>
      <c r="I57" s="9">
        <v>2721.4325740576855</v>
      </c>
      <c r="J57" s="9">
        <v>4.9225757201206006</v>
      </c>
      <c r="K57" s="9">
        <v>84.604946753429715</v>
      </c>
      <c r="L57" s="9">
        <v>5732.7077981266484</v>
      </c>
      <c r="M57" s="9">
        <v>145.60154423066587</v>
      </c>
      <c r="N57" s="9">
        <v>490.522056103887</v>
      </c>
      <c r="O57" s="9">
        <v>10851.014829897484</v>
      </c>
      <c r="P57" s="9">
        <v>3709.7414295267308</v>
      </c>
      <c r="Q57" s="9">
        <v>40.630034189582538</v>
      </c>
      <c r="R57" s="9">
        <v>9765.5457536673985</v>
      </c>
      <c r="S57" s="9">
        <v>119.03886630777669</v>
      </c>
      <c r="T57" s="9">
        <v>5433.4468174463136</v>
      </c>
      <c r="U57" s="9">
        <v>122.28138035235132</v>
      </c>
      <c r="V57" s="9">
        <v>538.41268983215332</v>
      </c>
      <c r="W57" s="9">
        <v>1951.65866130731</v>
      </c>
      <c r="X57" s="9">
        <v>228.65514470950768</v>
      </c>
      <c r="Y57" s="9">
        <v>731.3499039747835</v>
      </c>
      <c r="Z57" s="9">
        <v>795.024707686856</v>
      </c>
      <c r="AA57" s="9">
        <v>373.63760143291609</v>
      </c>
      <c r="AB57" s="9">
        <v>2480.6480106609147</v>
      </c>
      <c r="AC57" s="9">
        <v>2202.8678863333971</v>
      </c>
      <c r="AD57" s="9">
        <v>210.12337499999995</v>
      </c>
      <c r="AE57" s="9">
        <v>3823.7077278333677</v>
      </c>
      <c r="AF57" s="9">
        <v>4441.0095000808606</v>
      </c>
      <c r="AG57" s="9">
        <v>15035.812007787168</v>
      </c>
      <c r="AH57" s="9">
        <v>1537.1881366445846</v>
      </c>
      <c r="AI57" s="9">
        <v>156.8933533316351</v>
      </c>
      <c r="AJ57" s="9">
        <v>2834.0917592232977</v>
      </c>
      <c r="AK57" s="9">
        <v>6.3</v>
      </c>
      <c r="AL57" s="9">
        <v>52.320364197466979</v>
      </c>
      <c r="AM57" s="9">
        <v>6.933906166278601</v>
      </c>
      <c r="AN57" s="9">
        <v>813.07292996434217</v>
      </c>
      <c r="AO57" s="9">
        <v>3113.4349558268559</v>
      </c>
      <c r="AP57" s="9">
        <v>663.47261319939798</v>
      </c>
      <c r="AQ57" s="11">
        <v>4.6161780535343864</v>
      </c>
      <c r="AR57" s="9">
        <v>4377.0802278977262</v>
      </c>
      <c r="AS57" s="9">
        <v>64.579644501938418</v>
      </c>
      <c r="AT57" s="9">
        <v>1281.6782987086576</v>
      </c>
      <c r="AU57" s="9">
        <v>185.37731069678932</v>
      </c>
      <c r="AV57" s="9">
        <f t="shared" si="2"/>
        <v>108824.8832365125</v>
      </c>
    </row>
    <row r="58" spans="1:48" x14ac:dyDescent="0.3">
      <c r="A58" s="3">
        <f t="shared" si="1"/>
        <v>1854</v>
      </c>
      <c r="B58" s="9">
        <v>3846.3844309229175</v>
      </c>
      <c r="C58" s="9">
        <v>2737.6656485596022</v>
      </c>
      <c r="D58" s="9">
        <v>139.16640610795119</v>
      </c>
      <c r="E58" s="9">
        <v>99.340221494986793</v>
      </c>
      <c r="F58" s="9">
        <v>8241.1184100257142</v>
      </c>
      <c r="G58" s="9">
        <v>6613.9121709309329</v>
      </c>
      <c r="H58" s="9">
        <v>76.385832840825842</v>
      </c>
      <c r="I58" s="9">
        <v>2734.2565476067798</v>
      </c>
      <c r="J58" s="9">
        <v>5.0985995486033158</v>
      </c>
      <c r="K58" s="9">
        <v>84.774156646936575</v>
      </c>
      <c r="L58" s="9">
        <v>5801.5002917041684</v>
      </c>
      <c r="M58" s="9">
        <v>146.47515349604987</v>
      </c>
      <c r="N58" s="9">
        <v>490.522056103887</v>
      </c>
      <c r="O58" s="9">
        <v>10851.014829897484</v>
      </c>
      <c r="P58" s="9">
        <v>3713.9807518653224</v>
      </c>
      <c r="Q58" s="9">
        <v>40.630034189582538</v>
      </c>
      <c r="R58" s="9">
        <v>9800.4468414583516</v>
      </c>
      <c r="S58" s="9">
        <v>119.75309950562335</v>
      </c>
      <c r="T58" s="9">
        <v>5428.0133706288671</v>
      </c>
      <c r="U58" s="9">
        <v>123.5165458104559</v>
      </c>
      <c r="V58" s="9">
        <v>541.64316597114623</v>
      </c>
      <c r="W58" s="9">
        <v>1962.4261905285393</v>
      </c>
      <c r="X58" s="9">
        <v>229.34111014363617</v>
      </c>
      <c r="Y58" s="9">
        <v>732.08125387875816</v>
      </c>
      <c r="Z58" s="9">
        <v>795.024707686856</v>
      </c>
      <c r="AA58" s="9">
        <v>375.5057894400806</v>
      </c>
      <c r="AB58" s="9">
        <v>2488.0899546928972</v>
      </c>
      <c r="AC58" s="9">
        <v>2201.7964604228091</v>
      </c>
      <c r="AD58" s="9">
        <v>215.80912499999997</v>
      </c>
      <c r="AE58" s="9">
        <v>3827.5314355612009</v>
      </c>
      <c r="AF58" s="9">
        <v>4441.0095000808606</v>
      </c>
      <c r="AG58" s="9">
        <v>15093.452488349305</v>
      </c>
      <c r="AH58" s="9">
        <v>1538.6927271073696</v>
      </c>
      <c r="AI58" s="9">
        <v>157.99160680495652</v>
      </c>
      <c r="AJ58" s="9">
        <v>2843.5159336220704</v>
      </c>
      <c r="AK58" s="9">
        <v>6.3</v>
      </c>
      <c r="AL58" s="9">
        <v>52.372684561664443</v>
      </c>
      <c r="AM58" s="9">
        <v>7.001844862048932</v>
      </c>
      <c r="AN58" s="9">
        <v>817.13829461416367</v>
      </c>
      <c r="AO58" s="9">
        <v>3144.8837937645012</v>
      </c>
      <c r="AP58" s="9">
        <v>670.17435676706873</v>
      </c>
      <c r="AQ58" s="11">
        <v>4.6628061146811977</v>
      </c>
      <c r="AR58" s="9">
        <v>4363.948987214033</v>
      </c>
      <c r="AS58" s="9">
        <v>65.231964143372124</v>
      </c>
      <c r="AT58" s="9">
        <v>1288.0866902022008</v>
      </c>
      <c r="AU58" s="9">
        <v>185.74806531818291</v>
      </c>
      <c r="AV58" s="9">
        <f t="shared" si="2"/>
        <v>109143.41633619742</v>
      </c>
    </row>
    <row r="59" spans="1:48" x14ac:dyDescent="0.3">
      <c r="A59" s="3">
        <f t="shared" si="1"/>
        <v>1855</v>
      </c>
      <c r="B59" s="9">
        <v>3846.3844309229175</v>
      </c>
      <c r="C59" s="9">
        <v>2756.6085020100281</v>
      </c>
      <c r="D59" s="9">
        <v>140.57212738176887</v>
      </c>
      <c r="E59" s="9">
        <v>100.34365807574424</v>
      </c>
      <c r="F59" s="9">
        <v>8245.8222523960467</v>
      </c>
      <c r="G59" s="9">
        <v>6646.8881193070811</v>
      </c>
      <c r="H59" s="9">
        <v>78.253027866823189</v>
      </c>
      <c r="I59" s="9">
        <v>2747.1409504676835</v>
      </c>
      <c r="J59" s="9">
        <v>5.2809177217452854</v>
      </c>
      <c r="K59" s="9">
        <v>84.943704960230448</v>
      </c>
      <c r="L59" s="9">
        <v>5871.1182952046183</v>
      </c>
      <c r="M59" s="9">
        <v>147.35400441702615</v>
      </c>
      <c r="N59" s="9">
        <v>490.522056103887</v>
      </c>
      <c r="O59" s="9">
        <v>10851.014829897484</v>
      </c>
      <c r="P59" s="9">
        <v>3718.2332261810479</v>
      </c>
      <c r="Q59" s="9">
        <v>40.630034189582538</v>
      </c>
      <c r="R59" s="9">
        <v>9835.5074370757775</v>
      </c>
      <c r="S59" s="9">
        <v>120.47161810265709</v>
      </c>
      <c r="T59" s="9">
        <v>5422.5853572582382</v>
      </c>
      <c r="U59" s="9">
        <v>124.76418768732918</v>
      </c>
      <c r="V59" s="9">
        <v>544.89302496697314</v>
      </c>
      <c r="W59" s="9">
        <v>1973.2531254685184</v>
      </c>
      <c r="X59" s="9">
        <v>230.02913347406704</v>
      </c>
      <c r="Y59" s="9">
        <v>732.81333513263689</v>
      </c>
      <c r="Z59" s="9">
        <v>795.024707686856</v>
      </c>
      <c r="AA59" s="9">
        <v>377.38331838728089</v>
      </c>
      <c r="AB59" s="9">
        <v>2495.554224556975</v>
      </c>
      <c r="AC59" s="9">
        <v>2200.7255556299369</v>
      </c>
      <c r="AD59" s="9">
        <v>221.39512499999992</v>
      </c>
      <c r="AE59" s="9">
        <v>3831.3589669967614</v>
      </c>
      <c r="AF59" s="9">
        <v>4441.0095000808606</v>
      </c>
      <c r="AG59" s="9">
        <v>15151.313936358874</v>
      </c>
      <c r="AH59" s="9">
        <v>1540.1987902542105</v>
      </c>
      <c r="AI59" s="9">
        <v>159.09754805259121</v>
      </c>
      <c r="AJ59" s="9">
        <v>2852.989072691078</v>
      </c>
      <c r="AK59" s="9">
        <v>6.381874600385153</v>
      </c>
      <c r="AL59" s="9">
        <v>52.425057246226103</v>
      </c>
      <c r="AM59" s="9">
        <v>7.0704492239347667</v>
      </c>
      <c r="AN59" s="9">
        <v>821.22398608723438</v>
      </c>
      <c r="AO59" s="9">
        <v>3176.6502967318202</v>
      </c>
      <c r="AP59" s="9">
        <v>676.94379471421075</v>
      </c>
      <c r="AQ59" s="11">
        <v>4.7099051663446447</v>
      </c>
      <c r="AR59" s="9">
        <v>4350.8571402523912</v>
      </c>
      <c r="AS59" s="9">
        <v>65.890872872093041</v>
      </c>
      <c r="AT59" s="9">
        <v>1294.5271236532117</v>
      </c>
      <c r="AU59" s="9">
        <v>186.11956144881927</v>
      </c>
      <c r="AV59" s="9">
        <f t="shared" si="2"/>
        <v>109464.27816396207</v>
      </c>
    </row>
    <row r="60" spans="1:48" x14ac:dyDescent="0.3">
      <c r="A60" s="3">
        <f t="shared" si="1"/>
        <v>1856</v>
      </c>
      <c r="B60" s="9">
        <v>3846.3844309229175</v>
      </c>
      <c r="C60" s="9">
        <v>2775.6824276010693</v>
      </c>
      <c r="D60" s="9">
        <v>141.99204786037265</v>
      </c>
      <c r="E60" s="9">
        <v>101.35723037953966</v>
      </c>
      <c r="F60" s="9">
        <v>8250.5287796122902</v>
      </c>
      <c r="G60" s="9">
        <v>6680.0350932748879</v>
      </c>
      <c r="H60" s="9">
        <v>80.165865090273229</v>
      </c>
      <c r="I60" s="9">
        <v>2760.0860673962661</v>
      </c>
      <c r="J60" s="9">
        <v>5.4697553157480145</v>
      </c>
      <c r="K60" s="9">
        <v>85.113592370150911</v>
      </c>
      <c r="L60" s="9">
        <v>5841.7627037285956</v>
      </c>
      <c r="M60" s="9">
        <v>148.2381284435283</v>
      </c>
      <c r="N60" s="9">
        <v>490.522056103887</v>
      </c>
      <c r="O60" s="9">
        <v>10851.014829897484</v>
      </c>
      <c r="P60" s="9">
        <v>3722.4989204914846</v>
      </c>
      <c r="Q60" s="9">
        <v>40.630034189582538</v>
      </c>
      <c r="R60" s="9">
        <v>9870.7284020388652</v>
      </c>
      <c r="S60" s="9">
        <v>121.19444781127301</v>
      </c>
      <c r="T60" s="9">
        <v>5417.1627719009784</v>
      </c>
      <c r="U60" s="9">
        <v>126.02443200740325</v>
      </c>
      <c r="V60" s="9">
        <v>548.16238311677489</v>
      </c>
      <c r="W60" s="9">
        <v>1984.1397938755504</v>
      </c>
      <c r="X60" s="9">
        <v>230.7192208744892</v>
      </c>
      <c r="Y60" s="9">
        <v>733.5461484677694</v>
      </c>
      <c r="Z60" s="9">
        <v>795.024707686856</v>
      </c>
      <c r="AA60" s="9">
        <v>379.27023497921726</v>
      </c>
      <c r="AB60" s="9">
        <v>2503.0408872306457</v>
      </c>
      <c r="AC60" s="9">
        <v>2199.6551717013213</v>
      </c>
      <c r="AD60" s="9">
        <v>228.37762499999994</v>
      </c>
      <c r="AE60" s="9">
        <v>3835.1903259637579</v>
      </c>
      <c r="AF60" s="9">
        <v>4441.0095000808606</v>
      </c>
      <c r="AG60" s="9">
        <v>15209.397198904802</v>
      </c>
      <c r="AH60" s="9">
        <v>1541.7063275265625</v>
      </c>
      <c r="AI60" s="9">
        <v>160.21123088895934</v>
      </c>
      <c r="AJ60" s="9">
        <v>2862.5114626379682</v>
      </c>
      <c r="AK60" s="9">
        <v>6.4648132404827239</v>
      </c>
      <c r="AL60" s="9">
        <v>52.477482303472321</v>
      </c>
      <c r="AM60" s="9">
        <v>7.1397257741598876</v>
      </c>
      <c r="AN60" s="9">
        <v>825.33010601767046</v>
      </c>
      <c r="AO60" s="9">
        <v>3208.7376734664845</v>
      </c>
      <c r="AP60" s="9">
        <v>683.78161082243537</v>
      </c>
      <c r="AQ60" s="11">
        <v>4.7574799660046931</v>
      </c>
      <c r="AR60" s="9">
        <v>4337.8045688316333</v>
      </c>
      <c r="AS60" s="9">
        <v>66.556437244538401</v>
      </c>
      <c r="AT60" s="9">
        <v>1300.9997592714776</v>
      </c>
      <c r="AU60" s="9">
        <v>186.49180057171691</v>
      </c>
      <c r="AV60" s="9">
        <f t="shared" si="2"/>
        <v>109689.09569288223</v>
      </c>
    </row>
    <row r="61" spans="1:48" x14ac:dyDescent="0.3">
      <c r="A61" s="3">
        <f t="shared" si="1"/>
        <v>1857</v>
      </c>
      <c r="B61" s="9">
        <v>3718.1206245831968</v>
      </c>
      <c r="C61" s="9">
        <v>2794.8883322661018</v>
      </c>
      <c r="D61" s="9">
        <v>143.42631097007336</v>
      </c>
      <c r="E61" s="9">
        <v>102.3810407874138</v>
      </c>
      <c r="F61" s="9">
        <v>8255.2379932068889</v>
      </c>
      <c r="G61" s="9">
        <v>6713.3540116675113</v>
      </c>
      <c r="H61" s="9">
        <v>82.125460200838432</v>
      </c>
      <c r="I61" s="9">
        <v>2773.0921844902268</v>
      </c>
      <c r="J61" s="9">
        <v>5.6653454551959994</v>
      </c>
      <c r="K61" s="9">
        <v>85.28381955489121</v>
      </c>
      <c r="L61" s="9">
        <v>5911.8638561733387</v>
      </c>
      <c r="M61" s="9">
        <v>149.12755721418949</v>
      </c>
      <c r="N61" s="9">
        <v>490.522056103887</v>
      </c>
      <c r="O61" s="9">
        <v>10851.014829897484</v>
      </c>
      <c r="P61" s="9">
        <v>3726.7779032121553</v>
      </c>
      <c r="Q61" s="9">
        <v>40.630034189582538</v>
      </c>
      <c r="R61" s="9">
        <v>9906.1106029673974</v>
      </c>
      <c r="S61" s="9">
        <v>121.92161449814067</v>
      </c>
      <c r="T61" s="9">
        <v>5411.7456091290778</v>
      </c>
      <c r="U61" s="9">
        <v>127.29740606808407</v>
      </c>
      <c r="V61" s="9">
        <v>551.45135741547563</v>
      </c>
      <c r="W61" s="9">
        <v>1995.086525306162</v>
      </c>
      <c r="X61" s="9">
        <v>231.41137853711265</v>
      </c>
      <c r="Y61" s="9">
        <v>734.27969461623707</v>
      </c>
      <c r="Z61" s="9">
        <v>795.024707686856</v>
      </c>
      <c r="AA61" s="9">
        <v>381.16658615411336</v>
      </c>
      <c r="AB61" s="9">
        <v>2510.5500098923376</v>
      </c>
      <c r="AC61" s="9">
        <v>2198.585308383625</v>
      </c>
      <c r="AD61" s="9">
        <v>245.33512499999992</v>
      </c>
      <c r="AE61" s="9">
        <v>3839.0255162897211</v>
      </c>
      <c r="AF61" s="9">
        <v>4441.0095000808606</v>
      </c>
      <c r="AG61" s="9">
        <v>15267.703126323368</v>
      </c>
      <c r="AH61" s="9">
        <v>1543.215340367291</v>
      </c>
      <c r="AI61" s="9">
        <v>161.33270950518204</v>
      </c>
      <c r="AJ61" s="9">
        <v>2872.0833913800498</v>
      </c>
      <c r="AK61" s="9">
        <v>6.5488297485191005</v>
      </c>
      <c r="AL61" s="9">
        <v>52.529959785775787</v>
      </c>
      <c r="AM61" s="9">
        <v>7.2096810988530926</v>
      </c>
      <c r="AN61" s="9">
        <v>829.45675654775869</v>
      </c>
      <c r="AO61" s="9">
        <v>3241.1491651176616</v>
      </c>
      <c r="AP61" s="9">
        <v>690.68849578023776</v>
      </c>
      <c r="AQ61" s="11">
        <v>4.8055353191966583</v>
      </c>
      <c r="AR61" s="9">
        <v>4324.7911551251391</v>
      </c>
      <c r="AS61" s="9">
        <v>67.22872448943275</v>
      </c>
      <c r="AT61" s="9">
        <v>1307.5047580678349</v>
      </c>
      <c r="AU61" s="9">
        <v>186.86478417286034</v>
      </c>
      <c r="AV61" s="9">
        <f t="shared" si="2"/>
        <v>109896.62471482737</v>
      </c>
    </row>
    <row r="62" spans="1:48" x14ac:dyDescent="0.3">
      <c r="A62" s="3">
        <f t="shared" si="1"/>
        <v>1858</v>
      </c>
      <c r="B62" s="9">
        <v>3594.1339788633277</v>
      </c>
      <c r="C62" s="9">
        <v>2814.2271292138876</v>
      </c>
      <c r="D62" s="9">
        <v>144.87506158593271</v>
      </c>
      <c r="E62" s="9">
        <v>103.4151927145594</v>
      </c>
      <c r="F62" s="9">
        <v>8259.9498947131688</v>
      </c>
      <c r="G62" s="9">
        <v>6746.8457984018205</v>
      </c>
      <c r="H62" s="9">
        <v>84.132956160387508</v>
      </c>
      <c r="I62" s="9">
        <v>2786.1595891954171</v>
      </c>
      <c r="J62" s="9">
        <v>5.867929600854672</v>
      </c>
      <c r="K62" s="9">
        <v>85.454387194000986</v>
      </c>
      <c r="L62" s="9">
        <v>5982.8062224474188</v>
      </c>
      <c r="M62" s="9">
        <v>150.02232255747464</v>
      </c>
      <c r="N62" s="9">
        <v>490.522056103887</v>
      </c>
      <c r="O62" s="9">
        <v>10851.014829897484</v>
      </c>
      <c r="P62" s="9">
        <v>3731.0702431589107</v>
      </c>
      <c r="Q62" s="9">
        <v>40.630034189582538</v>
      </c>
      <c r="R62" s="9">
        <v>9941.6549116134811</v>
      </c>
      <c r="S62" s="9">
        <v>122.65314418512951</v>
      </c>
      <c r="T62" s="9">
        <v>5406.333863519948</v>
      </c>
      <c r="U62" s="9">
        <v>128.5832384526102</v>
      </c>
      <c r="V62" s="9">
        <v>554.76006555996844</v>
      </c>
      <c r="W62" s="9">
        <v>2006.0936511350837</v>
      </c>
      <c r="X62" s="9">
        <v>232.10561267272394</v>
      </c>
      <c r="Y62" s="9">
        <v>735.0139743108532</v>
      </c>
      <c r="Z62" s="9">
        <v>795.024707686856</v>
      </c>
      <c r="AA62" s="9">
        <v>383.0724190848839</v>
      </c>
      <c r="AB62" s="9">
        <v>2518.0816599220138</v>
      </c>
      <c r="AC62" s="9">
        <v>2197.5159654236336</v>
      </c>
      <c r="AD62" s="9">
        <v>276.80624999999992</v>
      </c>
      <c r="AE62" s="9">
        <v>3842.8645418060105</v>
      </c>
      <c r="AF62" s="9">
        <v>4441.0095000808606</v>
      </c>
      <c r="AG62" s="9">
        <v>15326.232572210662</v>
      </c>
      <c r="AH62" s="9">
        <v>1544.7258302206724</v>
      </c>
      <c r="AI62" s="9">
        <v>162.4620384717183</v>
      </c>
      <c r="AJ62" s="9">
        <v>2881.7051485545508</v>
      </c>
      <c r="AK62" s="9">
        <v>6.6339381324318634</v>
      </c>
      <c r="AL62" s="9">
        <v>52.58248974556156</v>
      </c>
      <c r="AM62" s="9">
        <v>7.2803218486743386</v>
      </c>
      <c r="AN62" s="9">
        <v>833.60404033049758</v>
      </c>
      <c r="AO62" s="9">
        <v>3273.8880455733956</v>
      </c>
      <c r="AP62" s="9">
        <v>697.66514725276534</v>
      </c>
      <c r="AQ62" s="11">
        <v>4.8540760799966254</v>
      </c>
      <c r="AR62" s="9">
        <v>4311.8167816597634</v>
      </c>
      <c r="AS62" s="9">
        <v>67.90780251457852</v>
      </c>
      <c r="AT62" s="9">
        <v>1314.042281858174</v>
      </c>
      <c r="AU62" s="9">
        <v>187.23851374120605</v>
      </c>
      <c r="AV62" s="9">
        <f t="shared" si="2"/>
        <v>110125.34015964679</v>
      </c>
    </row>
    <row r="63" spans="1:48" x14ac:dyDescent="0.3">
      <c r="A63" s="3">
        <f t="shared" si="1"/>
        <v>1859</v>
      </c>
      <c r="B63" s="9">
        <v>3474.2818650398212</v>
      </c>
      <c r="C63" s="9">
        <v>2833.6997379719946</v>
      </c>
      <c r="D63" s="9">
        <v>146.33844604639665</v>
      </c>
      <c r="E63" s="9">
        <v>104.45979062076707</v>
      </c>
      <c r="F63" s="9">
        <v>8264.6644856653274</v>
      </c>
      <c r="G63" s="9">
        <v>6780.511382507194</v>
      </c>
      <c r="H63" s="9">
        <v>86.18952386964429</v>
      </c>
      <c r="I63" s="9">
        <v>2799.2885703121983</v>
      </c>
      <c r="J63" s="9">
        <v>6.077757847759564</v>
      </c>
      <c r="K63" s="9">
        <v>85.625295968388983</v>
      </c>
      <c r="L63" s="9">
        <v>6054.5998971167883</v>
      </c>
      <c r="M63" s="9">
        <v>150.92245649281944</v>
      </c>
      <c r="N63" s="9">
        <v>490.522056103887</v>
      </c>
      <c r="O63" s="9">
        <v>10851.014829897484</v>
      </c>
      <c r="P63" s="9">
        <v>3735.3760095503203</v>
      </c>
      <c r="Q63" s="9">
        <v>40.630034189582538</v>
      </c>
      <c r="R63" s="9">
        <v>9977.3622048934631</v>
      </c>
      <c r="S63" s="9">
        <v>123.38906305024028</v>
      </c>
      <c r="T63" s="9">
        <v>5400.9275296564283</v>
      </c>
      <c r="U63" s="9">
        <v>129.88205904304061</v>
      </c>
      <c r="V63" s="9">
        <v>558.08862595332823</v>
      </c>
      <c r="W63" s="9">
        <v>2017.1615045652786</v>
      </c>
      <c r="X63" s="9">
        <v>232.80192951074207</v>
      </c>
      <c r="Y63" s="9">
        <v>735.74898828516393</v>
      </c>
      <c r="Z63" s="9">
        <v>795.024707686856</v>
      </c>
      <c r="AA63" s="9">
        <v>384.98778118030827</v>
      </c>
      <c r="AB63" s="9">
        <v>2525.6359049017797</v>
      </c>
      <c r="AC63" s="9">
        <v>2196.4471425682586</v>
      </c>
      <c r="AD63" s="9">
        <v>302.84099999999995</v>
      </c>
      <c r="AE63" s="9">
        <v>3846.7074063478162</v>
      </c>
      <c r="AF63" s="9">
        <v>4441.0095000808606</v>
      </c>
      <c r="AG63" s="9">
        <v>15384.986393435071</v>
      </c>
      <c r="AH63" s="9">
        <v>1546.2377985323981</v>
      </c>
      <c r="AI63" s="9">
        <v>163.59927274102031</v>
      </c>
      <c r="AJ63" s="9">
        <v>2891.3770255289246</v>
      </c>
      <c r="AK63" s="9">
        <v>6.7201525822053068</v>
      </c>
      <c r="AL63" s="9">
        <v>52.635072235307113</v>
      </c>
      <c r="AM63" s="9">
        <v>7.3516547394470209</v>
      </c>
      <c r="AN63" s="9">
        <v>837.77206053214991</v>
      </c>
      <c r="AO63" s="9">
        <v>3306.9576217913091</v>
      </c>
      <c r="AP63" s="9">
        <v>704.71226995228824</v>
      </c>
      <c r="AQ63" s="11">
        <v>4.903107151511743</v>
      </c>
      <c r="AR63" s="9">
        <v>4298.8813313147848</v>
      </c>
      <c r="AS63" s="9">
        <v>68.593739913715666</v>
      </c>
      <c r="AT63" s="9">
        <v>1320.6124932674647</v>
      </c>
      <c r="AU63" s="9">
        <v>187.61299076868846</v>
      </c>
      <c r="AV63" s="9">
        <f t="shared" si="2"/>
        <v>110355.17047141024</v>
      </c>
    </row>
    <row r="64" spans="1:48" x14ac:dyDescent="0.3">
      <c r="A64" s="3">
        <f t="shared" si="1"/>
        <v>1860</v>
      </c>
      <c r="B64" s="9">
        <v>3358.4264105708185</v>
      </c>
      <c r="C64" s="9">
        <v>2853.3070844305194</v>
      </c>
      <c r="D64" s="9">
        <v>147.81661216807763</v>
      </c>
      <c r="E64" s="9">
        <v>105.51494002097695</v>
      </c>
      <c r="F64" s="9">
        <v>8269.3817675984392</v>
      </c>
      <c r="G64" s="9">
        <v>6814.3516981544526</v>
      </c>
      <c r="H64" s="9">
        <v>89</v>
      </c>
      <c r="I64" s="9">
        <v>2812.4794180018157</v>
      </c>
      <c r="J64" s="9">
        <v>6.2950892339646902</v>
      </c>
      <c r="K64" s="9">
        <v>85.796546560325766</v>
      </c>
      <c r="L64" s="9">
        <v>6127.2550958821894</v>
      </c>
      <c r="M64" s="9">
        <v>151.82799123177645</v>
      </c>
      <c r="N64" s="9">
        <v>490.522056103887</v>
      </c>
      <c r="O64" s="9">
        <v>10851.014829897484</v>
      </c>
      <c r="P64" s="9">
        <v>3739.6952720100821</v>
      </c>
      <c r="Q64" s="9">
        <v>40.630034189582538</v>
      </c>
      <c r="R64" s="9">
        <v>10013.233364920083</v>
      </c>
      <c r="S64" s="9">
        <v>124.12939742854154</v>
      </c>
      <c r="T64" s="9">
        <v>5395.5266021267735</v>
      </c>
      <c r="U64" s="9">
        <v>131.1939990333743</v>
      </c>
      <c r="V64" s="9">
        <v>561.43715770904714</v>
      </c>
      <c r="W64" s="9">
        <v>2028.2904206380281</v>
      </c>
      <c r="X64" s="9">
        <v>233.50033529927441</v>
      </c>
      <c r="Y64" s="9">
        <v>736.48473727344901</v>
      </c>
      <c r="Z64" s="9">
        <v>795.024707686856</v>
      </c>
      <c r="AA64" s="9">
        <v>386.91272008620962</v>
      </c>
      <c r="AB64" s="9">
        <v>2533.2128126164848</v>
      </c>
      <c r="AC64" s="9">
        <v>2195.3788395645288</v>
      </c>
      <c r="AD64" s="9">
        <v>318.77999999999997</v>
      </c>
      <c r="AE64" s="9">
        <v>3850.5541137541636</v>
      </c>
      <c r="AF64" s="9">
        <v>4441.0095000808615</v>
      </c>
      <c r="AG64" s="9">
        <v>15443.965450149833</v>
      </c>
      <c r="AH64" s="9">
        <v>1547.7512467495726</v>
      </c>
      <c r="AI64" s="9">
        <v>164.74446765020744</v>
      </c>
      <c r="AJ64" s="9">
        <v>2901.099315411228</v>
      </c>
      <c r="AK64" s="9">
        <v>6.8074874722363097</v>
      </c>
      <c r="AL64" s="9">
        <v>52.687707307542418</v>
      </c>
      <c r="AM64" s="9">
        <v>7.4236865527964451</v>
      </c>
      <c r="AN64" s="9">
        <v>841.96092083481142</v>
      </c>
      <c r="AO64" s="9">
        <v>3340.3612341326393</v>
      </c>
      <c r="AP64" s="9">
        <v>711.83057570938172</v>
      </c>
      <c r="AQ64" s="11">
        <v>4.9526334863754995</v>
      </c>
      <c r="AR64" s="9">
        <v>4285.9846873208398</v>
      </c>
      <c r="AS64" s="9">
        <v>69.28660597345015</v>
      </c>
      <c r="AT64" s="9">
        <v>1327.2155557338019</v>
      </c>
      <c r="AU64" s="9">
        <v>187.98821675022583</v>
      </c>
      <c r="AV64" s="9">
        <f t="shared" si="2"/>
        <v>110582.043345507</v>
      </c>
    </row>
    <row r="65" spans="1:48" x14ac:dyDescent="0.3">
      <c r="A65" s="3">
        <f t="shared" si="1"/>
        <v>1861</v>
      </c>
      <c r="B65" s="9">
        <v>3246.4343404936476</v>
      </c>
      <c r="C65" s="9">
        <v>2873.2802340215321</v>
      </c>
      <c r="D65" s="9">
        <v>149.30970926068443</v>
      </c>
      <c r="E65" s="9">
        <v>106.58074749593631</v>
      </c>
      <c r="F65" s="9">
        <v>8321.9698165161535</v>
      </c>
      <c r="G65" s="9">
        <v>6848.3676846850103</v>
      </c>
      <c r="H65" s="9">
        <v>90.935468815429232</v>
      </c>
      <c r="I65" s="9">
        <v>2826.7026085995012</v>
      </c>
      <c r="J65" s="9">
        <v>6.5201920603312997</v>
      </c>
      <c r="K65" s="9">
        <v>85.968139653446414</v>
      </c>
      <c r="L65" s="9">
        <v>6200.782157032776</v>
      </c>
      <c r="M65" s="9">
        <v>152.73895917916715</v>
      </c>
      <c r="N65" s="9">
        <v>490.522056103887</v>
      </c>
      <c r="O65" s="9">
        <v>10851.014829897484</v>
      </c>
      <c r="P65" s="9">
        <v>3748.5890951028186</v>
      </c>
      <c r="Q65" s="9">
        <v>40.630034189582538</v>
      </c>
      <c r="R65" s="9">
        <v>10056.299424046247</v>
      </c>
      <c r="S65" s="9">
        <v>124.87417381311276</v>
      </c>
      <c r="T65" s="9">
        <v>5390.1310755246468</v>
      </c>
      <c r="U65" s="9">
        <v>132.51919094280234</v>
      </c>
      <c r="V65" s="9">
        <v>564.80578065530153</v>
      </c>
      <c r="W65" s="9">
        <v>2039.4954451181811</v>
      </c>
      <c r="X65" s="9">
        <v>234.43433664047154</v>
      </c>
      <c r="Y65" s="9">
        <v>737.22122201072239</v>
      </c>
      <c r="Z65" s="9">
        <v>795.024707686856</v>
      </c>
      <c r="AA65" s="9">
        <v>389.23419640672682</v>
      </c>
      <c r="AB65" s="9">
        <v>2540.8124510543339</v>
      </c>
      <c r="AC65" s="9">
        <v>2193.1834607249639</v>
      </c>
      <c r="AD65" s="9">
        <v>322</v>
      </c>
      <c r="AE65" s="9">
        <v>3854.4046678679174</v>
      </c>
      <c r="AF65" s="9">
        <v>4436.5684905807811</v>
      </c>
      <c r="AG65" s="9">
        <v>15509.7639808522</v>
      </c>
      <c r="AH65" s="9">
        <v>1548.8513390840869</v>
      </c>
      <c r="AI65" s="9">
        <v>165.89767892375889</v>
      </c>
      <c r="AJ65" s="9">
        <v>2910.8723130605549</v>
      </c>
      <c r="AK65" s="9">
        <v>6.9</v>
      </c>
      <c r="AL65" s="9">
        <v>52.740395014849952</v>
      </c>
      <c r="AM65" s="9">
        <v>7.5</v>
      </c>
      <c r="AN65" s="9">
        <v>847.01268635982012</v>
      </c>
      <c r="AO65" s="9">
        <v>3374.1022566996353</v>
      </c>
      <c r="AP65" s="9">
        <v>719.0207835448299</v>
      </c>
      <c r="AQ65" s="11">
        <v>5.0026600872479765</v>
      </c>
      <c r="AR65" s="9">
        <v>4255.982794509594</v>
      </c>
      <c r="AS65" s="9">
        <v>69.986470680252694</v>
      </c>
      <c r="AT65" s="9">
        <v>1333.8516335124707</v>
      </c>
      <c r="AU65" s="9">
        <v>188.36419318372629</v>
      </c>
      <c r="AV65" s="9">
        <f t="shared" si="2"/>
        <v>110847.20388169348</v>
      </c>
    </row>
    <row r="66" spans="1:48" x14ac:dyDescent="0.3">
      <c r="A66" s="3">
        <f t="shared" si="1"/>
        <v>1862</v>
      </c>
      <c r="B66" s="9">
        <v>3256.3912257888182</v>
      </c>
      <c r="C66" s="9">
        <v>2893.3931956596825</v>
      </c>
      <c r="D66" s="9">
        <v>150.81788814210549</v>
      </c>
      <c r="E66" s="9">
        <v>107.65732070296595</v>
      </c>
      <c r="F66" s="9">
        <v>8374.8922922346483</v>
      </c>
      <c r="G66" s="9">
        <v>6882.5602866401177</v>
      </c>
      <c r="H66" s="9">
        <v>92.913027962718004</v>
      </c>
      <c r="I66" s="9">
        <v>2840.9977283105104</v>
      </c>
      <c r="J66" s="9">
        <v>6.7533442217517861</v>
      </c>
      <c r="K66" s="9">
        <v>86.140075932753305</v>
      </c>
      <c r="L66" s="9">
        <v>6275.1915429171695</v>
      </c>
      <c r="M66" s="9">
        <v>153.65539293424217</v>
      </c>
      <c r="N66" s="9">
        <v>490.522056103887</v>
      </c>
      <c r="O66" s="9">
        <v>10851.014829897484</v>
      </c>
      <c r="P66" s="9">
        <v>3757.5188295468615</v>
      </c>
      <c r="Q66" s="9">
        <v>40.630034189582538</v>
      </c>
      <c r="R66" s="9">
        <v>10099.607775444721</v>
      </c>
      <c r="S66" s="9">
        <v>125.62341885599145</v>
      </c>
      <c r="T66" s="9">
        <v>5384.7409444491232</v>
      </c>
      <c r="U66" s="9">
        <v>133.85776862909327</v>
      </c>
      <c r="V66" s="9">
        <v>568.19461533923334</v>
      </c>
      <c r="W66" s="9">
        <v>2050.7623702868764</v>
      </c>
      <c r="X66" s="9">
        <v>235.37207398703342</v>
      </c>
      <c r="Y66" s="9">
        <v>737.95844323273298</v>
      </c>
      <c r="Z66" s="9">
        <v>795.024707686856</v>
      </c>
      <c r="AA66" s="9">
        <v>391.56960158516716</v>
      </c>
      <c r="AB66" s="9">
        <v>2548.4348884074966</v>
      </c>
      <c r="AC66" s="9">
        <v>2190.990277264239</v>
      </c>
      <c r="AD66" s="9">
        <v>326.2</v>
      </c>
      <c r="AE66" s="9">
        <v>3858.259072535785</v>
      </c>
      <c r="AF66" s="9">
        <v>4432.1319220902005</v>
      </c>
      <c r="AG66" s="9">
        <v>15575.842844132141</v>
      </c>
      <c r="AH66" s="9">
        <v>1549.952213329226</v>
      </c>
      <c r="AI66" s="9">
        <v>167.05896267622518</v>
      </c>
      <c r="AJ66" s="9">
        <v>2920.6963150975344</v>
      </c>
      <c r="AK66" s="9">
        <v>6.8261892375090047</v>
      </c>
      <c r="AL66" s="9">
        <v>52.793135409864796</v>
      </c>
      <c r="AM66" s="9">
        <v>7.7940315658320172</v>
      </c>
      <c r="AN66" s="9">
        <v>852.09476247797875</v>
      </c>
      <c r="AO66" s="9">
        <v>3408.1840976763988</v>
      </c>
      <c r="AP66" s="9">
        <v>726.28361974225243</v>
      </c>
      <c r="AQ66" s="11">
        <v>5.0531920073211882</v>
      </c>
      <c r="AR66" s="9">
        <v>4226.1909149480271</v>
      </c>
      <c r="AS66" s="9">
        <v>70.693404727527977</v>
      </c>
      <c r="AT66" s="9">
        <v>1340.5208916800329</v>
      </c>
      <c r="AU66" s="9">
        <v>188.74092157009375</v>
      </c>
      <c r="AV66" s="9">
        <f t="shared" si="2"/>
        <v>111238.50244725782</v>
      </c>
    </row>
    <row r="67" spans="1:48" x14ac:dyDescent="0.3">
      <c r="A67" s="3">
        <f t="shared" si="1"/>
        <v>1863</v>
      </c>
      <c r="B67" s="9">
        <v>3266.3786490694779</v>
      </c>
      <c r="C67" s="9">
        <v>2913.6469480293003</v>
      </c>
      <c r="D67" s="9">
        <v>152.34130115364189</v>
      </c>
      <c r="E67" s="9">
        <v>108.74476838683428</v>
      </c>
      <c r="F67" s="9">
        <v>8428.1513214973074</v>
      </c>
      <c r="G67" s="9">
        <v>6916.9304537903445</v>
      </c>
      <c r="H67" s="9">
        <v>95</v>
      </c>
      <c r="I67" s="9">
        <v>2855.3651408927017</v>
      </c>
      <c r="J67" s="9">
        <v>6.9948335502176677</v>
      </c>
      <c r="K67" s="9">
        <v>86.312356084618813</v>
      </c>
      <c r="L67" s="9">
        <v>6350.4938414321759</v>
      </c>
      <c r="M67" s="9">
        <v>154.57732529184767</v>
      </c>
      <c r="N67" s="9">
        <v>490.522056103887</v>
      </c>
      <c r="O67" s="9">
        <v>10851.014829897484</v>
      </c>
      <c r="P67" s="9">
        <v>3766.4846657803237</v>
      </c>
      <c r="Q67" s="9">
        <v>40.630034189582538</v>
      </c>
      <c r="R67" s="9">
        <v>10143.160006045659</v>
      </c>
      <c r="S67" s="9">
        <v>126.3771593691274</v>
      </c>
      <c r="T67" s="9">
        <v>5379.3562035046743</v>
      </c>
      <c r="U67" s="9">
        <v>135.20986730211447</v>
      </c>
      <c r="V67" s="9">
        <v>571.60378303126879</v>
      </c>
      <c r="W67" s="9">
        <v>2062.091538106351</v>
      </c>
      <c r="X67" s="9">
        <v>236.31356228298159</v>
      </c>
      <c r="Y67" s="9">
        <v>738.6964016759656</v>
      </c>
      <c r="Z67" s="9">
        <v>795.024707686856</v>
      </c>
      <c r="AA67" s="9">
        <v>393.91901919467824</v>
      </c>
      <c r="AB67" s="9">
        <v>2556.0801930727184</v>
      </c>
      <c r="AC67" s="9">
        <v>2188.7992869869745</v>
      </c>
      <c r="AD67" s="9">
        <v>328</v>
      </c>
      <c r="AE67" s="9">
        <v>3862.1173316083205</v>
      </c>
      <c r="AF67" s="9">
        <v>4427.6997901681116</v>
      </c>
      <c r="AG67" s="9">
        <v>15642.203234337812</v>
      </c>
      <c r="AH67" s="9">
        <v>1551.0538700407471</v>
      </c>
      <c r="AI67" s="9">
        <v>168.22837541495875</v>
      </c>
      <c r="AJ67" s="9">
        <v>2930.5716199148956</v>
      </c>
      <c r="AK67" s="9">
        <v>6.7531680443889517</v>
      </c>
      <c r="AL67" s="9">
        <v>52.845928545274653</v>
      </c>
      <c r="AM67" s="9">
        <v>8.0995904065581179</v>
      </c>
      <c r="AN67" s="9">
        <v>857.20733105284637</v>
      </c>
      <c r="AO67" s="9">
        <v>3442.6101996731295</v>
      </c>
      <c r="AP67" s="9">
        <v>733.61981792146696</v>
      </c>
      <c r="AQ67" s="11">
        <v>5.1042343508294845</v>
      </c>
      <c r="AR67" s="9">
        <v>4196.6075785433904</v>
      </c>
      <c r="AS67" s="9">
        <v>71.407479522755523</v>
      </c>
      <c r="AT67" s="9">
        <v>1347.2234961384329</v>
      </c>
      <c r="AU67" s="9">
        <v>189.11840341323392</v>
      </c>
      <c r="AV67" s="9">
        <f t="shared" si="2"/>
        <v>111630.69170250629</v>
      </c>
    </row>
    <row r="68" spans="1:48" x14ac:dyDescent="0.3">
      <c r="A68" s="3">
        <f t="shared" si="1"/>
        <v>1864</v>
      </c>
      <c r="B68" s="9">
        <v>3276.3967039962977</v>
      </c>
      <c r="C68" s="9">
        <v>2934.0424766655051</v>
      </c>
      <c r="D68" s="9">
        <v>153.88010217539582</v>
      </c>
      <c r="E68" s="9">
        <v>109.8432003907417</v>
      </c>
      <c r="F68" s="9">
        <v>8481.7490445722615</v>
      </c>
      <c r="G68" s="9">
        <v>6951.4791411651931</v>
      </c>
      <c r="H68" s="9">
        <v>97</v>
      </c>
      <c r="I68" s="9">
        <v>2869.8052119435174</v>
      </c>
      <c r="J68" s="9">
        <v>7.2449581701551544</v>
      </c>
      <c r="K68" s="9">
        <v>86.484980796788051</v>
      </c>
      <c r="L68" s="9">
        <v>6426.6997675293624</v>
      </c>
      <c r="M68" s="9">
        <v>155.50478924359879</v>
      </c>
      <c r="N68" s="9">
        <v>490.522056103887</v>
      </c>
      <c r="O68" s="9">
        <v>10851.014829897484</v>
      </c>
      <c r="P68" s="9">
        <v>3775.4867953442172</v>
      </c>
      <c r="Q68" s="9">
        <v>40.630034189582538</v>
      </c>
      <c r="R68" s="9">
        <v>10186.957713958316</v>
      </c>
      <c r="S68" s="9">
        <v>127.13542232534216</v>
      </c>
      <c r="T68" s="9">
        <v>5373.97684730117</v>
      </c>
      <c r="U68" s="9">
        <v>136.57562353748935</v>
      </c>
      <c r="V68" s="9">
        <v>575.03340572945638</v>
      </c>
      <c r="W68" s="9">
        <v>2073.4832924279681</v>
      </c>
      <c r="X68" s="9">
        <v>237.25881653211349</v>
      </c>
      <c r="Y68" s="9">
        <v>739.43509807764144</v>
      </c>
      <c r="Z68" s="9">
        <v>795.024707686856</v>
      </c>
      <c r="AA68" s="9">
        <v>396.28253330984631</v>
      </c>
      <c r="AB68" s="9">
        <v>2563.7484336519369</v>
      </c>
      <c r="AC68" s="9">
        <v>2186.6104876999871</v>
      </c>
      <c r="AD68" s="9">
        <v>332.2</v>
      </c>
      <c r="AE68" s="9">
        <v>3865.9794489399283</v>
      </c>
      <c r="AF68" s="9">
        <v>4423.2720903779436</v>
      </c>
      <c r="AG68" s="9">
        <v>15708.846350905862</v>
      </c>
      <c r="AH68" s="9">
        <v>1552.1563097748026</v>
      </c>
      <c r="AI68" s="9">
        <v>169.40597404286345</v>
      </c>
      <c r="AJ68" s="9">
        <v>2940.4985276880871</v>
      </c>
      <c r="AK68" s="9">
        <v>6.6809279744489265</v>
      </c>
      <c r="AL68" s="9">
        <v>52.89877447381992</v>
      </c>
      <c r="AM68" s="9">
        <v>8.417128439869888</v>
      </c>
      <c r="AN68" s="9">
        <v>862.35057503916323</v>
      </c>
      <c r="AO68" s="9">
        <v>3477.3840400738677</v>
      </c>
      <c r="AP68" s="9">
        <v>741.03011911259273</v>
      </c>
      <c r="AQ68" s="11">
        <v>5.1557922735651367</v>
      </c>
      <c r="AR68" s="9">
        <v>4167.2313254935871</v>
      </c>
      <c r="AS68" s="9">
        <v>72.128767194702561</v>
      </c>
      <c r="AT68" s="9">
        <v>1353.9596136191249</v>
      </c>
      <c r="AU68" s="9">
        <v>189.49664022006039</v>
      </c>
      <c r="AV68" s="9">
        <f t="shared" ref="AV68:AV99" si="3">SUM(B68:AU68)</f>
        <v>112028.39888006641</v>
      </c>
    </row>
    <row r="69" spans="1:48" x14ac:dyDescent="0.3">
      <c r="A69" s="3">
        <f t="shared" si="1"/>
        <v>1865</v>
      </c>
      <c r="B69" s="9">
        <v>3286.4454845172081</v>
      </c>
      <c r="C69" s="9">
        <v>2954.5807740021633</v>
      </c>
      <c r="D69" s="9">
        <v>155.43444664181393</v>
      </c>
      <c r="E69" s="9">
        <v>110.95272766741583</v>
      </c>
      <c r="F69" s="9">
        <v>8535.687615338391</v>
      </c>
      <c r="G69" s="9">
        <v>6986.207309082899</v>
      </c>
      <c r="H69" s="9">
        <v>85.036073055365193</v>
      </c>
      <c r="I69" s="9">
        <v>2884.3183089092918</v>
      </c>
      <c r="J69" s="9">
        <v>7.5040268664669698</v>
      </c>
      <c r="K69" s="9">
        <v>86.657950758381631</v>
      </c>
      <c r="L69" s="9">
        <v>6503.8201647397145</v>
      </c>
      <c r="M69" s="9">
        <v>156.43781797906041</v>
      </c>
      <c r="N69" s="9">
        <v>490.522056103887</v>
      </c>
      <c r="O69" s="9">
        <v>10851.014829897484</v>
      </c>
      <c r="P69" s="9">
        <v>3784.5254108890013</v>
      </c>
      <c r="Q69" s="9">
        <v>40.630034189582538</v>
      </c>
      <c r="R69" s="9">
        <v>10231.00250855276</v>
      </c>
      <c r="S69" s="9">
        <v>127.89823485929423</v>
      </c>
      <c r="T69" s="9">
        <v>5368.6028704538703</v>
      </c>
      <c r="U69" s="9">
        <v>137.9551752903933</v>
      </c>
      <c r="V69" s="9">
        <v>578.48360616383309</v>
      </c>
      <c r="W69" s="9">
        <v>2084.9379790026528</v>
      </c>
      <c r="X69" s="9">
        <v>238.20785179824193</v>
      </c>
      <c r="Y69" s="9">
        <v>740.17453317571903</v>
      </c>
      <c r="Z69" s="9">
        <v>795.024707686856</v>
      </c>
      <c r="AA69" s="9">
        <v>398.66022850970535</v>
      </c>
      <c r="AB69" s="9">
        <v>2571.4396789528919</v>
      </c>
      <c r="AC69" s="9">
        <v>2184.4238772122872</v>
      </c>
      <c r="AD69" s="9">
        <v>348.5</v>
      </c>
      <c r="AE69" s="9">
        <v>3869.8454283888677</v>
      </c>
      <c r="AF69" s="9">
        <v>4418.8488182875662</v>
      </c>
      <c r="AG69" s="9">
        <v>15775.773398383088</v>
      </c>
      <c r="AH69" s="9">
        <v>1553.2595330879394</v>
      </c>
      <c r="AI69" s="9">
        <v>170.59181586116347</v>
      </c>
      <c r="AJ69" s="9">
        <v>2950.4773403859708</v>
      </c>
      <c r="AK69" s="9">
        <v>6.6094606718487094</v>
      </c>
      <c r="AL69" s="9">
        <v>52.951673248293737</v>
      </c>
      <c r="AM69" s="9">
        <v>8.7471153005344409</v>
      </c>
      <c r="AN69" s="9">
        <v>867.52467848939784</v>
      </c>
      <c r="AO69" s="9">
        <v>3512.5091313877442</v>
      </c>
      <c r="AP69" s="9">
        <v>748.51527183090161</v>
      </c>
      <c r="AQ69" s="11">
        <v>5.2078709833991272</v>
      </c>
      <c r="AR69" s="9">
        <v>4138.0607062151312</v>
      </c>
      <c r="AS69" s="9">
        <v>72.857340600709662</v>
      </c>
      <c r="AT69" s="9">
        <v>1360.7294116872204</v>
      </c>
      <c r="AU69" s="9">
        <v>189.8756335005005</v>
      </c>
      <c r="AV69" s="9">
        <f t="shared" si="3"/>
        <v>112427.47091060689</v>
      </c>
    </row>
    <row r="70" spans="1:48" x14ac:dyDescent="0.3">
      <c r="A70" s="3">
        <f t="shared" ref="A70:A133" si="4">+A69+1</f>
        <v>1866</v>
      </c>
      <c r="B70" s="9">
        <v>3296.5250848682795</v>
      </c>
      <c r="C70" s="9">
        <v>2975.2628394201779</v>
      </c>
      <c r="D70" s="9">
        <v>157.00449155738778</v>
      </c>
      <c r="E70" s="9">
        <v>112.073462290319</v>
      </c>
      <c r="F70" s="9">
        <v>8589.9692013718904</v>
      </c>
      <c r="G70" s="9">
        <v>7021.115923180394</v>
      </c>
      <c r="H70" s="9">
        <v>74.547770316261918</v>
      </c>
      <c r="I70" s="9">
        <v>2898.9048010945953</v>
      </c>
      <c r="J70" s="9">
        <v>7.7723594657348007</v>
      </c>
      <c r="K70" s="9">
        <v>86.83126665989839</v>
      </c>
      <c r="L70" s="9">
        <v>6477.804884080756</v>
      </c>
      <c r="M70" s="9">
        <v>157.37644488693476</v>
      </c>
      <c r="N70" s="9">
        <v>490.522056103887</v>
      </c>
      <c r="O70" s="9">
        <v>10851.014829897484</v>
      </c>
      <c r="P70" s="9">
        <v>3793.6007061811752</v>
      </c>
      <c r="Q70" s="9">
        <v>40.630034189582538</v>
      </c>
      <c r="R70" s="9">
        <v>10275.296010542201</v>
      </c>
      <c r="S70" s="9">
        <v>128.66562426844996</v>
      </c>
      <c r="T70" s="9">
        <v>5363.234267583417</v>
      </c>
      <c r="U70" s="9">
        <v>139.34866190948821</v>
      </c>
      <c r="V70" s="9">
        <v>581.95450780081603</v>
      </c>
      <c r="W70" s="9">
        <v>2096.4559454913847</v>
      </c>
      <c r="X70" s="9">
        <v>239.16068320543491</v>
      </c>
      <c r="Y70" s="9">
        <v>740.91470770889464</v>
      </c>
      <c r="Z70" s="9">
        <v>795.024707686856</v>
      </c>
      <c r="AA70" s="9">
        <v>401.05218988076354</v>
      </c>
      <c r="AB70" s="9">
        <v>2579.1539979897507</v>
      </c>
      <c r="AC70" s="9">
        <v>2182.2394533350744</v>
      </c>
      <c r="AD70" s="9">
        <v>350.6</v>
      </c>
      <c r="AE70" s="9">
        <v>3873.7152738172563</v>
      </c>
      <c r="AF70" s="9">
        <v>4414.4299694692791</v>
      </c>
      <c r="AG70" s="9">
        <v>15842.985586448234</v>
      </c>
      <c r="AH70" s="9">
        <v>1554.3635405371015</v>
      </c>
      <c r="AI70" s="9">
        <v>171.78595857219159</v>
      </c>
      <c r="AJ70" s="9">
        <v>2960.5083617815735</v>
      </c>
      <c r="AK70" s="9">
        <v>6.5387578701322742</v>
      </c>
      <c r="AL70" s="9">
        <v>53.004624921542025</v>
      </c>
      <c r="AM70" s="9">
        <v>9.0900390349783535</v>
      </c>
      <c r="AN70" s="9">
        <v>872.72982656033412</v>
      </c>
      <c r="AO70" s="9">
        <v>3547.989021603782</v>
      </c>
      <c r="AP70" s="9">
        <v>756.0760321524258</v>
      </c>
      <c r="AQ70" s="11">
        <v>5.2604757408072009</v>
      </c>
      <c r="AR70" s="9">
        <v>4109.0942812716257</v>
      </c>
      <c r="AS70" s="9">
        <v>73.593273334050181</v>
      </c>
      <c r="AT70" s="9">
        <v>1367.5330587456563</v>
      </c>
      <c r="AU70" s="9">
        <v>190.25538476750151</v>
      </c>
      <c r="AV70" s="9">
        <f t="shared" si="3"/>
        <v>112713.01037959577</v>
      </c>
    </row>
    <row r="71" spans="1:48" x14ac:dyDescent="0.3">
      <c r="A71" s="3">
        <f t="shared" si="4"/>
        <v>1867</v>
      </c>
      <c r="B71" s="9">
        <v>3404.219112992248</v>
      </c>
      <c r="C71" s="9">
        <v>2996.0896792961194</v>
      </c>
      <c r="D71" s="9">
        <v>158.59039551251291</v>
      </c>
      <c r="E71" s="9">
        <v>113.20551746496869</v>
      </c>
      <c r="F71" s="9">
        <v>8644.5959840333708</v>
      </c>
      <c r="G71" s="9">
        <v>7056.2059544434478</v>
      </c>
      <c r="H71" s="9">
        <v>67</v>
      </c>
      <c r="I71" s="9">
        <v>2913.5650596716368</v>
      </c>
      <c r="J71" s="9">
        <v>8.0502872310529536</v>
      </c>
      <c r="K71" s="9">
        <v>87.004929193218189</v>
      </c>
      <c r="L71" s="9">
        <v>6555.5385426897255</v>
      </c>
      <c r="M71" s="9">
        <v>158.32070355625646</v>
      </c>
      <c r="N71" s="9">
        <v>490.522056103887</v>
      </c>
      <c r="O71" s="9">
        <v>10851.014829897484</v>
      </c>
      <c r="P71" s="9">
        <v>3802.7128761099016</v>
      </c>
      <c r="Q71" s="9">
        <v>40.630034189582538</v>
      </c>
      <c r="R71" s="9">
        <v>10319.839852065954</v>
      </c>
      <c r="S71" s="9">
        <v>129.43761801406069</v>
      </c>
      <c r="T71" s="9">
        <v>5357.8710333158333</v>
      </c>
      <c r="U71" s="9">
        <v>140.75622415099818</v>
      </c>
      <c r="V71" s="9">
        <v>585.44623484762099</v>
      </c>
      <c r="W71" s="9">
        <v>2108.0375414757523</v>
      </c>
      <c r="X71" s="9">
        <v>240.1173259382567</v>
      </c>
      <c r="Y71" s="9">
        <v>741.65562241660348</v>
      </c>
      <c r="Z71" s="9">
        <v>795.024707686856</v>
      </c>
      <c r="AA71" s="9">
        <v>403.45850302004817</v>
      </c>
      <c r="AB71" s="9">
        <v>2586.891459983719</v>
      </c>
      <c r="AC71" s="9">
        <v>2180.0572138817388</v>
      </c>
      <c r="AD71" s="9">
        <v>316.35000000000002</v>
      </c>
      <c r="AE71" s="9">
        <v>3877.588989091073</v>
      </c>
      <c r="AF71" s="9">
        <v>4410.015539499811</v>
      </c>
      <c r="AG71" s="9">
        <v>15910.484129933837</v>
      </c>
      <c r="AH71" s="9">
        <v>1555.4683326796271</v>
      </c>
      <c r="AI71" s="9">
        <v>172.98846028219691</v>
      </c>
      <c r="AJ71" s="9">
        <v>2970.5918974629039</v>
      </c>
      <c r="AK71" s="9">
        <v>6.4688113912716272</v>
      </c>
      <c r="AL71" s="9">
        <v>53.057629546463559</v>
      </c>
      <c r="AM71" s="9">
        <v>9.4464068231021994</v>
      </c>
      <c r="AN71" s="9">
        <v>877.9662055196959</v>
      </c>
      <c r="AO71" s="9">
        <v>3583.8272945492749</v>
      </c>
      <c r="AP71" s="9">
        <v>763.71316379032908</v>
      </c>
      <c r="AQ71" s="11">
        <v>5.3136118594012123</v>
      </c>
      <c r="AR71" s="9">
        <v>4080.330621302724</v>
      </c>
      <c r="AS71" s="9">
        <v>74.336639731363817</v>
      </c>
      <c r="AT71" s="9">
        <v>1374.3707240393844</v>
      </c>
      <c r="AU71" s="9">
        <v>190.6358955370365</v>
      </c>
      <c r="AV71" s="9">
        <f t="shared" si="3"/>
        <v>113168.81365222238</v>
      </c>
    </row>
    <row r="72" spans="1:48" x14ac:dyDescent="0.3">
      <c r="A72" s="3">
        <f t="shared" si="4"/>
        <v>1868</v>
      </c>
      <c r="B72" s="9">
        <v>3515.4313924247849</v>
      </c>
      <c r="C72" s="9">
        <v>3017.0623070511915</v>
      </c>
      <c r="D72" s="9">
        <v>160.19231869950798</v>
      </c>
      <c r="E72" s="9">
        <v>114.34900754037238</v>
      </c>
      <c r="F72" s="9">
        <v>8699.5701585555162</v>
      </c>
      <c r="G72" s="9">
        <v>7091.4783792369744</v>
      </c>
      <c r="H72" s="9">
        <v>69.930454491062036</v>
      </c>
      <c r="I72" s="9">
        <v>2928.2994576897058</v>
      </c>
      <c r="J72" s="9">
        <v>8.3381532709806745</v>
      </c>
      <c r="K72" s="9">
        <v>87.17893905160463</v>
      </c>
      <c r="L72" s="9">
        <v>6634.2050052020022</v>
      </c>
      <c r="M72" s="9">
        <v>159.27062777759403</v>
      </c>
      <c r="N72" s="9">
        <v>490.522056103887</v>
      </c>
      <c r="O72" s="9">
        <v>10851.014829897484</v>
      </c>
      <c r="P72" s="9">
        <v>3811.8621166936755</v>
      </c>
      <c r="Q72" s="9">
        <v>40.630034189582538</v>
      </c>
      <c r="R72" s="9">
        <v>10364.635676772989</v>
      </c>
      <c r="S72" s="9">
        <v>130.21424372214506</v>
      </c>
      <c r="T72" s="9">
        <v>5352.5131622825193</v>
      </c>
      <c r="U72" s="9">
        <v>142.17800419292746</v>
      </c>
      <c r="V72" s="9">
        <v>588.95891225670675</v>
      </c>
      <c r="W72" s="9">
        <v>2119.6831184685616</v>
      </c>
      <c r="X72" s="9">
        <v>241.0777952420097</v>
      </c>
      <c r="Y72" s="9">
        <v>742.39727803901997</v>
      </c>
      <c r="Z72" s="9">
        <v>795.024707686856</v>
      </c>
      <c r="AA72" s="9">
        <v>405.87925403816848</v>
      </c>
      <c r="AB72" s="9">
        <v>2594.65213436367</v>
      </c>
      <c r="AC72" s="9">
        <v>2177.877156667857</v>
      </c>
      <c r="AD72" s="9">
        <v>309.14999999999998</v>
      </c>
      <c r="AE72" s="9">
        <v>3881.4665780801638</v>
      </c>
      <c r="AF72" s="9">
        <v>4405.6055239603111</v>
      </c>
      <c r="AG72" s="9">
        <v>15978.270248848188</v>
      </c>
      <c r="AH72" s="9">
        <v>1556.5739100732515</v>
      </c>
      <c r="AI72" s="9">
        <v>174.19937950417227</v>
      </c>
      <c r="AJ72" s="9">
        <v>2980.7282548438329</v>
      </c>
      <c r="AK72" s="9">
        <v>6.3996131447208739</v>
      </c>
      <c r="AL72" s="9">
        <v>53.110687176010018</v>
      </c>
      <c r="AM72" s="9">
        <v>9.8167457283932649</v>
      </c>
      <c r="AN72" s="9">
        <v>883.23400275281381</v>
      </c>
      <c r="AO72" s="9">
        <v>3620.027570251792</v>
      </c>
      <c r="AP72" s="9">
        <v>771.42743817204951</v>
      </c>
      <c r="AQ72" s="11">
        <v>5.3672847064658722</v>
      </c>
      <c r="AR72" s="9">
        <v>4051.7683069536047</v>
      </c>
      <c r="AS72" s="9">
        <v>75.087514880165472</v>
      </c>
      <c r="AT72" s="9">
        <v>1381.2425776595812</v>
      </c>
      <c r="AU72" s="9">
        <v>191.01716732811059</v>
      </c>
      <c r="AV72" s="9">
        <f t="shared" si="3"/>
        <v>113668.91948567299</v>
      </c>
    </row>
    <row r="73" spans="1:48" x14ac:dyDescent="0.3">
      <c r="A73" s="3">
        <f t="shared" si="4"/>
        <v>1869</v>
      </c>
      <c r="B73" s="9">
        <v>3630.2768607579355</v>
      </c>
      <c r="C73" s="9">
        <v>3038.1817432005496</v>
      </c>
      <c r="D73" s="9">
        <v>161.8104229287959</v>
      </c>
      <c r="E73" s="9">
        <v>115.50404802057817</v>
      </c>
      <c r="F73" s="9">
        <v>8754.8939341313144</v>
      </c>
      <c r="G73" s="9">
        <v>7126.9341793355306</v>
      </c>
      <c r="H73" s="9">
        <v>72.989081572037293</v>
      </c>
      <c r="I73" s="9">
        <v>2943.1083700846671</v>
      </c>
      <c r="J73" s="9">
        <v>8.6363129631179731</v>
      </c>
      <c r="K73" s="9">
        <v>87.353296929707838</v>
      </c>
      <c r="L73" s="9">
        <v>6713.8154652644262</v>
      </c>
      <c r="M73" s="9">
        <v>160.22625154425961</v>
      </c>
      <c r="N73" s="9">
        <v>490.522056103887</v>
      </c>
      <c r="O73" s="9">
        <v>10851.014829897484</v>
      </c>
      <c r="P73" s="9">
        <v>3821.0486250870317</v>
      </c>
      <c r="Q73" s="9">
        <v>40.630034189582538</v>
      </c>
      <c r="R73" s="9">
        <v>10409.685139906132</v>
      </c>
      <c r="S73" s="9">
        <v>130.9955291844779</v>
      </c>
      <c r="T73" s="9">
        <v>5347.1606491202365</v>
      </c>
      <c r="U73" s="9">
        <v>143.61414564942166</v>
      </c>
      <c r="V73" s="9">
        <v>592.49266573024693</v>
      </c>
      <c r="W73" s="9">
        <v>2131.3930299245039</v>
      </c>
      <c r="X73" s="9">
        <v>242.04210642297772</v>
      </c>
      <c r="Y73" s="9">
        <v>743.13967531705896</v>
      </c>
      <c r="Z73" s="9">
        <v>795.024707686856</v>
      </c>
      <c r="AA73" s="9">
        <v>408.31452956239747</v>
      </c>
      <c r="AB73" s="9">
        <v>2602.4360907667606</v>
      </c>
      <c r="AC73" s="9">
        <v>2175.6992795111892</v>
      </c>
      <c r="AD73" s="9">
        <v>309.7</v>
      </c>
      <c r="AE73" s="9">
        <v>3885.3480446582435</v>
      </c>
      <c r="AF73" s="9">
        <v>4401.1999184363522</v>
      </c>
      <c r="AG73" s="9">
        <v>16046.345168397384</v>
      </c>
      <c r="AH73" s="9">
        <v>1557.6802732761064</v>
      </c>
      <c r="AI73" s="9">
        <v>175.41877516070147</v>
      </c>
      <c r="AJ73" s="9">
        <v>2990.9177431750431</v>
      </c>
      <c r="AK73" s="9">
        <v>6.3311551264804038</v>
      </c>
      <c r="AL73" s="9">
        <v>53.163797863186019</v>
      </c>
      <c r="AM73" s="9">
        <v>10.201603477445831</v>
      </c>
      <c r="AN73" s="9">
        <v>888.53340676933044</v>
      </c>
      <c r="AO73" s="9">
        <v>3656.5935053048397</v>
      </c>
      <c r="AP73" s="9">
        <v>779.21963451722161</v>
      </c>
      <c r="AQ73" s="11">
        <v>5.4214997035008796</v>
      </c>
      <c r="AR73" s="9">
        <v>4023.4059288049293</v>
      </c>
      <c r="AS73" s="9">
        <v>75.845974626429765</v>
      </c>
      <c r="AT73" s="9">
        <v>1388.1487905478789</v>
      </c>
      <c r="AU73" s="9">
        <v>191.39920166276681</v>
      </c>
      <c r="AV73" s="9">
        <f t="shared" si="3"/>
        <v>114183.81748230099</v>
      </c>
    </row>
    <row r="74" spans="1:48" x14ac:dyDescent="0.3">
      <c r="A74" s="3">
        <f t="shared" si="4"/>
        <v>1870</v>
      </c>
      <c r="B74" s="9">
        <v>3748.8742104747143</v>
      </c>
      <c r="C74" s="9">
        <v>3059.449015402954</v>
      </c>
      <c r="D74" s="9">
        <v>163.44487164524838</v>
      </c>
      <c r="E74" s="9">
        <v>116.67075557634158</v>
      </c>
      <c r="F74" s="9">
        <v>8810.5695340028124</v>
      </c>
      <c r="G74" s="9">
        <v>7162.5743419539667</v>
      </c>
      <c r="H74" s="9">
        <v>76.181487271906988</v>
      </c>
      <c r="I74" s="9">
        <v>2957.9921736884999</v>
      </c>
      <c r="J74" s="9">
        <v>8.9451343928278817</v>
      </c>
      <c r="K74" s="9">
        <v>87.52800352356725</v>
      </c>
      <c r="L74" s="9">
        <v>6794.3812508475994</v>
      </c>
      <c r="M74" s="9">
        <v>161.18760905352545</v>
      </c>
      <c r="N74" s="9">
        <v>490.52205610388694</v>
      </c>
      <c r="O74" s="9">
        <v>10851.014829897485</v>
      </c>
      <c r="P74" s="9">
        <v>3830.2725995872916</v>
      </c>
      <c r="Q74" s="9">
        <v>40.630034189582609</v>
      </c>
      <c r="R74" s="9">
        <v>10454.989908386888</v>
      </c>
      <c r="S74" s="9">
        <v>131.78150235958449</v>
      </c>
      <c r="T74" s="9">
        <v>5341.8134884711053</v>
      </c>
      <c r="U74" s="9">
        <v>145.0647935852744</v>
      </c>
      <c r="V74" s="9">
        <v>596.04762172462722</v>
      </c>
      <c r="W74" s="9">
        <v>2143.1676312508848</v>
      </c>
      <c r="X74" s="9">
        <v>243.01027484866944</v>
      </c>
      <c r="Y74" s="9">
        <v>743.88281499237598</v>
      </c>
      <c r="Z74" s="9">
        <v>795.02470768685578</v>
      </c>
      <c r="AA74" s="9">
        <v>410.76441673977217</v>
      </c>
      <c r="AB74" s="9">
        <v>2610.2433990390623</v>
      </c>
      <c r="AC74" s="9">
        <v>2173.5235802316779</v>
      </c>
      <c r="AD74" s="9">
        <v>312.95</v>
      </c>
      <c r="AE74" s="9">
        <v>3889.2333927029013</v>
      </c>
      <c r="AF74" s="9">
        <v>4396.7987185179154</v>
      </c>
      <c r="AG74" s="9">
        <v>16114.710119007534</v>
      </c>
      <c r="AH74" s="9">
        <v>1558.7874228467181</v>
      </c>
      <c r="AI74" s="9">
        <v>176.64670658682635</v>
      </c>
      <c r="AJ74" s="9">
        <v>3001.1606735550413</v>
      </c>
      <c r="AK74" s="9">
        <v>6.2634294181710857</v>
      </c>
      <c r="AL74" s="9">
        <v>53.216961661049197</v>
      </c>
      <c r="AM74" s="9">
        <v>10.60154927004193</v>
      </c>
      <c r="AN74" s="9">
        <v>893.86460720994626</v>
      </c>
      <c r="AO74" s="9">
        <v>3693.5287932372125</v>
      </c>
      <c r="AP74" s="9">
        <v>787.09053991638552</v>
      </c>
      <c r="AQ74" s="11">
        <v>5.4762623267685679</v>
      </c>
      <c r="AR74" s="9">
        <v>3995.2420873032938</v>
      </c>
      <c r="AS74" s="9">
        <v>76.612095582252394</v>
      </c>
      <c r="AT74" s="9">
        <v>1395.0895345006181</v>
      </c>
      <c r="AU74" s="9">
        <v>191.78200006609234</v>
      </c>
      <c r="AV74" s="9">
        <f t="shared" si="3"/>
        <v>114708.60694063772</v>
      </c>
    </row>
    <row r="75" spans="1:48" x14ac:dyDescent="0.3">
      <c r="A75" s="3">
        <f t="shared" si="4"/>
        <v>1871</v>
      </c>
      <c r="B75" s="9">
        <v>3871.346011617467</v>
      </c>
      <c r="C75" s="9">
        <v>3074.8844201568754</v>
      </c>
      <c r="D75" s="9">
        <v>165.09582994469534</v>
      </c>
      <c r="E75" s="9">
        <v>117.84924805691068</v>
      </c>
      <c r="F75" s="9">
        <v>8877.9123245002593</v>
      </c>
      <c r="G75" s="9">
        <v>7205.5624341202392</v>
      </c>
      <c r="H75" s="9">
        <v>79.513522816858412</v>
      </c>
      <c r="I75" s="9">
        <v>2975.9660091049745</v>
      </c>
      <c r="J75" s="9">
        <v>9.2649988076467586</v>
      </c>
      <c r="K75" s="9">
        <v>87.703059530614382</v>
      </c>
      <c r="L75" s="9">
        <v>6875.9138258577705</v>
      </c>
      <c r="M75" s="9">
        <v>162.3159223169001</v>
      </c>
      <c r="N75" s="9">
        <v>491.01257815999071</v>
      </c>
      <c r="O75" s="9">
        <v>10861.865844727385</v>
      </c>
      <c r="P75" s="9">
        <v>3844.4259259838636</v>
      </c>
      <c r="Q75" s="9">
        <v>40.670664223772185</v>
      </c>
      <c r="R75" s="9">
        <v>10516.908372961889</v>
      </c>
      <c r="S75" s="9">
        <v>132.96753588082075</v>
      </c>
      <c r="T75" s="9">
        <v>5336.4716749826348</v>
      </c>
      <c r="U75" s="9">
        <v>146.53009453058021</v>
      </c>
      <c r="V75" s="9">
        <v>601.41205032014886</v>
      </c>
      <c r="W75" s="9">
        <v>2157.6660930287967</v>
      </c>
      <c r="X75" s="9">
        <v>244.71134677261009</v>
      </c>
      <c r="Y75" s="9">
        <v>744.62669780736826</v>
      </c>
      <c r="Z75" s="9">
        <v>795.81973239454226</v>
      </c>
      <c r="AA75" s="9">
        <v>413.63976765695065</v>
      </c>
      <c r="AB75" s="9">
        <v>2620.684372635219</v>
      </c>
      <c r="AC75" s="9">
        <v>2170.2331457709938</v>
      </c>
      <c r="AD75" s="9">
        <v>316.2</v>
      </c>
      <c r="AE75" s="9">
        <v>3908.6795596664156</v>
      </c>
      <c r="AF75" s="9">
        <v>4388.0051210808779</v>
      </c>
      <c r="AG75" s="9">
        <v>16200.139436989761</v>
      </c>
      <c r="AH75" s="9">
        <v>1560.544220924515</v>
      </c>
      <c r="AI75" s="9">
        <v>177</v>
      </c>
      <c r="AJ75" s="9">
        <v>3012.9164638837706</v>
      </c>
      <c r="AK75" s="9">
        <v>6.2</v>
      </c>
      <c r="AL75" s="9">
        <v>53.27017862271024</v>
      </c>
      <c r="AM75" s="9">
        <v>11.1</v>
      </c>
      <c r="AN75" s="9">
        <v>900.1216594604158</v>
      </c>
      <c r="AO75" s="9">
        <v>3730.8371648860734</v>
      </c>
      <c r="AP75" s="9">
        <v>795.04094941049073</v>
      </c>
      <c r="AQ75" s="11">
        <v>5.5315781078470367</v>
      </c>
      <c r="AR75" s="9">
        <v>3995.2420873032938</v>
      </c>
      <c r="AS75" s="9">
        <v>77.385955133588268</v>
      </c>
      <c r="AT75" s="9">
        <v>1402.0649821731211</v>
      </c>
      <c r="AU75" s="9">
        <v>192.16556406622453</v>
      </c>
      <c r="AV75" s="9">
        <f t="shared" si="3"/>
        <v>115355.41842637789</v>
      </c>
    </row>
    <row r="76" spans="1:48" x14ac:dyDescent="0.3">
      <c r="A76" s="3">
        <f t="shared" si="4"/>
        <v>1872</v>
      </c>
      <c r="B76" s="9">
        <v>3997.8188384636801</v>
      </c>
      <c r="C76" s="9">
        <v>3090.397698972014</v>
      </c>
      <c r="D76" s="9">
        <v>166.76346459060139</v>
      </c>
      <c r="E76" s="9">
        <v>119.03964450193</v>
      </c>
      <c r="F76" s="9">
        <v>8945.7698435194543</v>
      </c>
      <c r="G76" s="9">
        <v>7248.8156932905385</v>
      </c>
      <c r="H76" s="9">
        <v>82.991295354751344</v>
      </c>
      <c r="I76" s="9">
        <v>2994.0490600773437</v>
      </c>
      <c r="J76" s="9">
        <v>9.5963010879435906</v>
      </c>
      <c r="K76" s="9">
        <v>87.878465649675604</v>
      </c>
      <c r="L76" s="9">
        <v>6958.4247917680641</v>
      </c>
      <c r="M76" s="9">
        <v>163.45213377311831</v>
      </c>
      <c r="N76" s="9">
        <v>491.50359073815059</v>
      </c>
      <c r="O76" s="9">
        <v>10872.727710572111</v>
      </c>
      <c r="P76" s="9">
        <v>3858.6509937899059</v>
      </c>
      <c r="Q76" s="9">
        <v>40.711334887995946</v>
      </c>
      <c r="R76" s="9">
        <v>10579.25122576075</v>
      </c>
      <c r="S76" s="9">
        <v>134.16424370374813</v>
      </c>
      <c r="T76" s="9">
        <v>5331.135203307651</v>
      </c>
      <c r="U76" s="9">
        <v>148.01019649553558</v>
      </c>
      <c r="V76" s="9">
        <v>606.82475877303</v>
      </c>
      <c r="W76" s="9">
        <v>2172.2626364457096</v>
      </c>
      <c r="X76" s="9">
        <v>246.42432620001833</v>
      </c>
      <c r="Y76" s="9">
        <v>745.37132450517549</v>
      </c>
      <c r="Z76" s="9">
        <v>796.61555212693645</v>
      </c>
      <c r="AA76" s="9">
        <v>416.53524603054939</v>
      </c>
      <c r="AB76" s="9">
        <v>2631.1671101257598</v>
      </c>
      <c r="AC76" s="9">
        <v>2166.9476926038365</v>
      </c>
      <c r="AD76" s="9">
        <v>322.10000000000002</v>
      </c>
      <c r="AE76" s="9">
        <v>3928.2229574647472</v>
      </c>
      <c r="AF76" s="9">
        <v>4379.2291108387171</v>
      </c>
      <c r="AG76" s="9">
        <v>16286.021643563652</v>
      </c>
      <c r="AH76" s="9">
        <v>1562.3029989640704</v>
      </c>
      <c r="AI76" s="9">
        <v>177</v>
      </c>
      <c r="AJ76" s="9">
        <v>3024.7452924104145</v>
      </c>
      <c r="AK76" s="9">
        <v>6.078908573561125</v>
      </c>
      <c r="AL76" s="9">
        <v>53.323448801332944</v>
      </c>
      <c r="AM76" s="9">
        <v>11.365544954863076</v>
      </c>
      <c r="AN76" s="9">
        <v>906.42251107663844</v>
      </c>
      <c r="AO76" s="9">
        <v>3768.5223887738116</v>
      </c>
      <c r="AP76" s="9">
        <v>803.07166607120291</v>
      </c>
      <c r="AQ76" s="11">
        <v>5.5874526341889261</v>
      </c>
      <c r="AR76" s="9">
        <v>3995.2420873032938</v>
      </c>
      <c r="AS76" s="9">
        <v>78.16763144806896</v>
      </c>
      <c r="AT76" s="9">
        <v>1409.0753070839864</v>
      </c>
      <c r="AU76" s="9">
        <v>192.54989519435699</v>
      </c>
      <c r="AV76" s="9">
        <f t="shared" si="3"/>
        <v>116012.32922227291</v>
      </c>
    </row>
    <row r="77" spans="1:48" x14ac:dyDescent="0.3">
      <c r="A77" s="3">
        <f t="shared" si="4"/>
        <v>1873</v>
      </c>
      <c r="B77" s="9">
        <v>4036.0745672636754</v>
      </c>
      <c r="C77" s="9">
        <v>3105.9892447353404</v>
      </c>
      <c r="D77" s="9">
        <v>168.44794403091049</v>
      </c>
      <c r="E77" s="9">
        <v>120.24206515346467</v>
      </c>
      <c r="F77" s="9">
        <v>9014.1460253412442</v>
      </c>
      <c r="G77" s="9">
        <v>7292.3357968856872</v>
      </c>
      <c r="H77" s="9">
        <v>86.621179148652644</v>
      </c>
      <c r="I77" s="9">
        <v>3012.2419902390143</v>
      </c>
      <c r="J77" s="9">
        <v>9.9394502344093958</v>
      </c>
      <c r="K77" s="9">
        <v>88.054222580974951</v>
      </c>
      <c r="L77" s="9">
        <v>7041.9258892692806</v>
      </c>
      <c r="M77" s="9">
        <v>164.59629870953012</v>
      </c>
      <c r="N77" s="9">
        <v>491.99509432888874</v>
      </c>
      <c r="O77" s="9">
        <v>10883.600438282685</v>
      </c>
      <c r="P77" s="9">
        <v>3872.9482587635889</v>
      </c>
      <c r="Q77" s="9">
        <v>40.752046222883948</v>
      </c>
      <c r="R77" s="9">
        <v>10642.021784687469</v>
      </c>
      <c r="S77" s="9">
        <v>135.37172189708184</v>
      </c>
      <c r="T77" s="9">
        <v>5325.8040681043422</v>
      </c>
      <c r="U77" s="9">
        <v>149.50524898538947</v>
      </c>
      <c r="V77" s="9">
        <v>612.28618160198732</v>
      </c>
      <c r="W77" s="9">
        <v>2186.9579250208326</v>
      </c>
      <c r="X77" s="9">
        <v>248.14929648341842</v>
      </c>
      <c r="Y77" s="9">
        <v>746.11669582968057</v>
      </c>
      <c r="Z77" s="9">
        <v>797.41216767906326</v>
      </c>
      <c r="AA77" s="9">
        <v>419.45099275276323</v>
      </c>
      <c r="AB77" s="9">
        <v>2641.6917785662627</v>
      </c>
      <c r="AC77" s="9">
        <v>2163.6672131891692</v>
      </c>
      <c r="AD77" s="9">
        <v>329</v>
      </c>
      <c r="AE77" s="9">
        <v>3947.8640722520704</v>
      </c>
      <c r="AF77" s="9">
        <v>4370.4706526170385</v>
      </c>
      <c r="AG77" s="9">
        <v>16372.359139638889</v>
      </c>
      <c r="AH77" s="9">
        <v>1564.0637591968571</v>
      </c>
      <c r="AI77" s="9">
        <v>177</v>
      </c>
      <c r="AJ77" s="9">
        <v>3036.6476611500252</v>
      </c>
      <c r="AK77" s="9">
        <v>5.9601821686637013</v>
      </c>
      <c r="AL77" s="9">
        <v>53.376772250134273</v>
      </c>
      <c r="AM77" s="9">
        <v>11.637442533424641</v>
      </c>
      <c r="AN77" s="9">
        <v>912.76746865417499</v>
      </c>
      <c r="AO77" s="9">
        <v>3806.5882714886989</v>
      </c>
      <c r="AP77" s="9">
        <v>811.18350108202344</v>
      </c>
      <c r="AQ77" s="11">
        <v>5.643891549685784</v>
      </c>
      <c r="AR77" s="9">
        <v>3995.2420873032938</v>
      </c>
      <c r="AS77" s="9">
        <v>78.957203482897924</v>
      </c>
      <c r="AT77" s="9">
        <v>1416.1206836194062</v>
      </c>
      <c r="AU77" s="9">
        <v>192.93499498474571</v>
      </c>
      <c r="AV77" s="9">
        <f t="shared" si="3"/>
        <v>116586.16336995974</v>
      </c>
    </row>
    <row r="78" spans="1:48" x14ac:dyDescent="0.3">
      <c r="A78" s="3">
        <f t="shared" si="4"/>
        <v>1874</v>
      </c>
      <c r="B78" s="9">
        <v>4075.2254633825219</v>
      </c>
      <c r="C78" s="9">
        <v>3121.6594523160029</v>
      </c>
      <c r="D78" s="9">
        <v>170.14943841506113</v>
      </c>
      <c r="E78" s="9">
        <v>121.45663146814614</v>
      </c>
      <c r="F78" s="9">
        <v>9083.0448343178014</v>
      </c>
      <c r="G78" s="9">
        <v>7336.124433174713</v>
      </c>
      <c r="H78" s="9">
        <v>91</v>
      </c>
      <c r="I78" s="9">
        <v>3030.5454672558717</v>
      </c>
      <c r="J78" s="9">
        <v>10.294869872978472</v>
      </c>
      <c r="K78" s="9">
        <v>88.230331026136895</v>
      </c>
      <c r="L78" s="9">
        <v>7126.4289999405119</v>
      </c>
      <c r="M78" s="9">
        <v>165.74847280049676</v>
      </c>
      <c r="N78" s="9">
        <v>492.48708942321758</v>
      </c>
      <c r="O78" s="9">
        <v>10894.48403872097</v>
      </c>
      <c r="P78" s="9">
        <v>3887.3181799098475</v>
      </c>
      <c r="Q78" s="9">
        <v>40.792798269106825</v>
      </c>
      <c r="R78" s="9">
        <v>10705.223396355377</v>
      </c>
      <c r="S78" s="9">
        <v>136.59006739415557</v>
      </c>
      <c r="T78" s="9">
        <v>5320.4782640362373</v>
      </c>
      <c r="U78" s="9">
        <v>151.01540301554496</v>
      </c>
      <c r="V78" s="9">
        <v>617.79675723640514</v>
      </c>
      <c r="W78" s="9">
        <v>2201.7526267620633</v>
      </c>
      <c r="X78" s="9">
        <v>249.88634155880237</v>
      </c>
      <c r="Y78" s="9">
        <v>746.86281252551021</v>
      </c>
      <c r="Z78" s="9">
        <v>798.20957984674203</v>
      </c>
      <c r="AA78" s="9">
        <v>422.38714970203262</v>
      </c>
      <c r="AB78" s="9">
        <v>2652.2585456805277</v>
      </c>
      <c r="AC78" s="9">
        <v>2160.3916999973731</v>
      </c>
      <c r="AD78" s="9">
        <v>334.4</v>
      </c>
      <c r="AE78" s="9">
        <v>3967.6033926133305</v>
      </c>
      <c r="AF78" s="9">
        <v>4361.7297113118038</v>
      </c>
      <c r="AG78" s="9">
        <v>16459.154338853157</v>
      </c>
      <c r="AH78" s="9">
        <v>1565.8265038568636</v>
      </c>
      <c r="AI78" s="9">
        <v>177</v>
      </c>
      <c r="AJ78" s="9">
        <v>3048.6240756225061</v>
      </c>
      <c r="AK78" s="9">
        <v>5.8437745943670825</v>
      </c>
      <c r="AL78" s="9">
        <v>53.430149022384398</v>
      </c>
      <c r="AM78" s="9">
        <v>11.91584470930391</v>
      </c>
      <c r="AN78" s="9">
        <v>919.15684093475409</v>
      </c>
      <c r="AO78" s="9">
        <v>3845.0386580693935</v>
      </c>
      <c r="AP78" s="9">
        <v>819.37727382022592</v>
      </c>
      <c r="AQ78" s="11">
        <v>5.7009005552381655</v>
      </c>
      <c r="AR78" s="9">
        <v>3995.2420873032938</v>
      </c>
      <c r="AS78" s="9">
        <v>79.754750992826175</v>
      </c>
      <c r="AT78" s="9">
        <v>1423.2012870375031</v>
      </c>
      <c r="AU78" s="9">
        <v>193.32086497471519</v>
      </c>
      <c r="AV78" s="9">
        <f t="shared" si="3"/>
        <v>117164.16359867578</v>
      </c>
    </row>
    <row r="79" spans="1:48" x14ac:dyDescent="0.3">
      <c r="A79" s="3">
        <f t="shared" si="4"/>
        <v>1875</v>
      </c>
      <c r="B79" s="9">
        <v>4115.0893092284423</v>
      </c>
      <c r="C79" s="9">
        <v>3137.4087185753251</v>
      </c>
      <c r="D79" s="9">
        <v>171.86811961117286</v>
      </c>
      <c r="E79" s="9">
        <v>122.68346612944053</v>
      </c>
      <c r="F79" s="9">
        <v>9152.4702651024672</v>
      </c>
      <c r="G79" s="9">
        <v>7380.1833013463147</v>
      </c>
      <c r="H79" s="9">
        <v>92.936827983591485</v>
      </c>
      <c r="I79" s="9">
        <v>3048.9601628507821</v>
      </c>
      <c r="J79" s="9">
        <v>10.662998777804876</v>
      </c>
      <c r="K79" s="9">
        <v>88.406791688189173</v>
      </c>
      <c r="L79" s="9">
        <v>7211.9461479397978</v>
      </c>
      <c r="M79" s="9">
        <v>166.9087121101002</v>
      </c>
      <c r="N79" s="9">
        <v>492.97957651264062</v>
      </c>
      <c r="O79" s="9">
        <v>10905.378522759689</v>
      </c>
      <c r="P79" s="9">
        <v>3901.7612195046959</v>
      </c>
      <c r="Q79" s="9">
        <v>40.83359106737592</v>
      </c>
      <c r="R79" s="9">
        <v>10768.859436354</v>
      </c>
      <c r="S79" s="9">
        <v>137.81937800070298</v>
      </c>
      <c r="T79" s="9">
        <v>5315.1577857722014</v>
      </c>
      <c r="U79" s="9">
        <v>152.54081112681308</v>
      </c>
      <c r="V79" s="9">
        <v>623.3569280515328</v>
      </c>
      <c r="W79" s="9">
        <v>2216.6474141963513</v>
      </c>
      <c r="X79" s="9">
        <v>251.63554594971393</v>
      </c>
      <c r="Y79" s="9">
        <v>747.60967533803569</v>
      </c>
      <c r="Z79" s="9">
        <v>799.00778942658837</v>
      </c>
      <c r="AA79" s="9">
        <v>425.34385974994689</v>
      </c>
      <c r="AB79" s="9">
        <v>2662.8675798632498</v>
      </c>
      <c r="AC79" s="9">
        <v>2157.1211455102257</v>
      </c>
      <c r="AD79" s="9">
        <v>340</v>
      </c>
      <c r="AE79" s="9">
        <v>3987.4414095763968</v>
      </c>
      <c r="AF79" s="9">
        <v>4353.0062518891791</v>
      </c>
      <c r="AG79" s="9">
        <v>16546.409667639611</v>
      </c>
      <c r="AH79" s="9">
        <v>1567.5912351805976</v>
      </c>
      <c r="AI79" s="9">
        <v>177</v>
      </c>
      <c r="AJ79" s="9">
        <v>3060.6750448771377</v>
      </c>
      <c r="AK79" s="9">
        <v>5.7296405618801201</v>
      </c>
      <c r="AL79" s="9">
        <v>53.483579171406774</v>
      </c>
      <c r="AM79" s="9">
        <v>12.200907091780264</v>
      </c>
      <c r="AN79" s="9">
        <v>925.5909388212973</v>
      </c>
      <c r="AO79" s="9">
        <v>3883.8774323933267</v>
      </c>
      <c r="AP79" s="9">
        <v>827.65381193962253</v>
      </c>
      <c r="AQ79" s="11">
        <v>5.758485409331481</v>
      </c>
      <c r="AR79" s="9">
        <v>3995.2420873032938</v>
      </c>
      <c r="AS79" s="9">
        <v>80.560354538208244</v>
      </c>
      <c r="AT79" s="9">
        <v>1430.3172934726904</v>
      </c>
      <c r="AU79" s="9">
        <v>193.70750670466461</v>
      </c>
      <c r="AV79" s="9">
        <f t="shared" si="3"/>
        <v>117744.69072709768</v>
      </c>
    </row>
    <row r="80" spans="1:48" x14ac:dyDescent="0.3">
      <c r="A80" s="3">
        <f t="shared" si="4"/>
        <v>1876</v>
      </c>
      <c r="B80" s="9">
        <v>4149.3869913900926</v>
      </c>
      <c r="C80" s="9">
        <v>3153.2374423768597</v>
      </c>
      <c r="D80" s="9">
        <v>173.60416122340695</v>
      </c>
      <c r="E80" s="9">
        <v>123.92269306004098</v>
      </c>
      <c r="F80" s="9">
        <v>9222.4263428813465</v>
      </c>
      <c r="G80" s="9">
        <v>7424.5141115808165</v>
      </c>
      <c r="H80" s="9">
        <v>94.914879073095321</v>
      </c>
      <c r="I80" s="9">
        <v>3067.4867528282452</v>
      </c>
      <c r="J80" s="9">
        <v>11.044291412939751</v>
      </c>
      <c r="K80" s="9">
        <v>88.583605271565546</v>
      </c>
      <c r="L80" s="9">
        <v>7298.4895017150757</v>
      </c>
      <c r="M80" s="9">
        <v>168.07707309487083</v>
      </c>
      <c r="N80" s="9">
        <v>493.47255608915322</v>
      </c>
      <c r="O80" s="9">
        <v>10916.28390128245</v>
      </c>
      <c r="P80" s="9">
        <v>3916.2778431197439</v>
      </c>
      <c r="Q80" s="9">
        <v>40.874424658443289</v>
      </c>
      <c r="R80" s="9">
        <v>10832.933309518521</v>
      </c>
      <c r="S80" s="9">
        <v>139.05975240270925</v>
      </c>
      <c r="T80" s="9">
        <v>5309.8426279864279</v>
      </c>
      <c r="U80" s="9">
        <v>154.08162740082133</v>
      </c>
      <c r="V80" s="9">
        <v>628.96714040399638</v>
      </c>
      <c r="W80" s="9">
        <v>2231.6429644002692</v>
      </c>
      <c r="X80" s="9">
        <v>253.39699477136188</v>
      </c>
      <c r="Y80" s="9">
        <v>748.3572850133736</v>
      </c>
      <c r="Z80" s="9">
        <v>799.80679721601473</v>
      </c>
      <c r="AA80" s="9">
        <v>428.32126676819655</v>
      </c>
      <c r="AB80" s="9">
        <v>2673.5190501827024</v>
      </c>
      <c r="AC80" s="9">
        <v>2153.8555422208883</v>
      </c>
      <c r="AD80" s="9">
        <v>344.1</v>
      </c>
      <c r="AE80" s="9">
        <v>4007.3786166242785</v>
      </c>
      <c r="AF80" s="9">
        <v>4344.3002393854013</v>
      </c>
      <c r="AG80" s="9">
        <v>16634.12756529473</v>
      </c>
      <c r="AH80" s="9">
        <v>1569.3579554070841</v>
      </c>
      <c r="AI80" s="9">
        <v>177</v>
      </c>
      <c r="AJ80" s="9">
        <v>3072.8010815172775</v>
      </c>
      <c r="AK80" s="9">
        <v>5.6177356669413943</v>
      </c>
      <c r="AL80" s="9">
        <v>53.537062750578173</v>
      </c>
      <c r="AM80" s="9">
        <v>12.492789012769036</v>
      </c>
      <c r="AN80" s="9">
        <v>932.07007539304618</v>
      </c>
      <c r="AO80" s="9">
        <v>3923.1085175690177</v>
      </c>
      <c r="AP80" s="9">
        <v>836.01395145416438</v>
      </c>
      <c r="AQ80" s="11">
        <v>5.8166519286176586</v>
      </c>
      <c r="AR80" s="9">
        <v>3995.2420873032938</v>
      </c>
      <c r="AS80" s="9">
        <v>81.37409549313962</v>
      </c>
      <c r="AT80" s="9">
        <v>1437.4688799400537</v>
      </c>
      <c r="AU80" s="9">
        <v>194.09492171807395</v>
      </c>
      <c r="AV80" s="9">
        <f t="shared" si="3"/>
        <v>118322.28315580192</v>
      </c>
    </row>
    <row r="81" spans="1:48" x14ac:dyDescent="0.3">
      <c r="A81" s="3">
        <f t="shared" si="4"/>
        <v>1877</v>
      </c>
      <c r="B81" s="9">
        <v>4173.2317097900923</v>
      </c>
      <c r="C81" s="9">
        <v>3169.1460245964904</v>
      </c>
      <c r="D81" s="9">
        <v>175.35773860950198</v>
      </c>
      <c r="E81" s="9">
        <v>125.17443743438481</v>
      </c>
      <c r="F81" s="9">
        <v>9292.9171236066886</v>
      </c>
      <c r="G81" s="9">
        <v>7469.1185851225846</v>
      </c>
      <c r="H81" s="9">
        <v>96.935030653842276</v>
      </c>
      <c r="I81" s="9">
        <v>3086.1259170991912</v>
      </c>
      <c r="J81" s="9">
        <v>11.692</v>
      </c>
      <c r="K81" s="9">
        <v>88.760772482108678</v>
      </c>
      <c r="L81" s="9">
        <v>7386.0713757356571</v>
      </c>
      <c r="M81" s="9">
        <v>169.25361260653486</v>
      </c>
      <c r="N81" s="9">
        <v>493.96602864524237</v>
      </c>
      <c r="O81" s="9">
        <v>10927.200185183736</v>
      </c>
      <c r="P81" s="9">
        <v>3930.8685196468841</v>
      </c>
      <c r="Q81" s="9">
        <v>40.915299083101729</v>
      </c>
      <c r="R81" s="9">
        <v>10897.448450201875</v>
      </c>
      <c r="S81" s="9">
        <v>140.31129017433364</v>
      </c>
      <c r="T81" s="9">
        <v>5304.5327853584413</v>
      </c>
      <c r="U81" s="9">
        <v>155.6380074755771</v>
      </c>
      <c r="V81" s="9">
        <v>634.62784466763242</v>
      </c>
      <c r="W81" s="9">
        <v>2246.7399590307914</v>
      </c>
      <c r="X81" s="9">
        <v>255.17077373476141</v>
      </c>
      <c r="Y81" s="9">
        <v>749.1056422983869</v>
      </c>
      <c r="Z81" s="9">
        <v>800.60660401323048</v>
      </c>
      <c r="AA81" s="9">
        <v>431.31951563557396</v>
      </c>
      <c r="AB81" s="9">
        <v>2684.213126383434</v>
      </c>
      <c r="AC81" s="9">
        <v>2150.5948826338854</v>
      </c>
      <c r="AD81" s="9">
        <v>345.7</v>
      </c>
      <c r="AE81" s="9">
        <v>4027.4155097073995</v>
      </c>
      <c r="AF81" s="9">
        <v>4335.6116389066301</v>
      </c>
      <c r="AG81" s="9">
        <v>16722.31048404648</v>
      </c>
      <c r="AH81" s="9">
        <v>1571.126666777875</v>
      </c>
      <c r="AI81" s="9">
        <v>177</v>
      </c>
      <c r="AJ81" s="9">
        <v>3085.0027017252251</v>
      </c>
      <c r="AK81" s="9">
        <v>5.5080163725435751</v>
      </c>
      <c r="AL81" s="9">
        <v>53.590599813328744</v>
      </c>
      <c r="AM81" s="9">
        <v>12.791653615878015</v>
      </c>
      <c r="AN81" s="9">
        <v>938.59456592079755</v>
      </c>
      <c r="AO81" s="9">
        <v>3962.7358763323414</v>
      </c>
      <c r="AP81" s="9">
        <v>844.45853682238851</v>
      </c>
      <c r="AQ81" s="11">
        <v>5.8754059885026866</v>
      </c>
      <c r="AR81" s="9">
        <v>3995.2420873032938</v>
      </c>
      <c r="AS81" s="9">
        <v>82.196056053676401</v>
      </c>
      <c r="AT81" s="9">
        <v>1444.6562243397539</v>
      </c>
      <c r="AU81" s="9">
        <v>194.4831115615101</v>
      </c>
      <c r="AV81" s="9">
        <f t="shared" si="3"/>
        <v>118891.34237719157</v>
      </c>
    </row>
    <row r="82" spans="1:48" x14ac:dyDescent="0.3">
      <c r="A82" s="3">
        <f t="shared" si="4"/>
        <v>1878</v>
      </c>
      <c r="B82" s="9">
        <v>4198.7596491603308</v>
      </c>
      <c r="C82" s="9">
        <v>3185.1348681325821</v>
      </c>
      <c r="D82" s="9">
        <v>177.12902889848687</v>
      </c>
      <c r="E82" s="9">
        <v>126.43882569129781</v>
      </c>
      <c r="F82" s="9">
        <v>9363.9466942320578</v>
      </c>
      <c r="G82" s="9">
        <v>7513.9984543529481</v>
      </c>
      <c r="H82" s="9">
        <v>97</v>
      </c>
      <c r="I82" s="9">
        <v>3104.8783397059392</v>
      </c>
      <c r="J82" s="9">
        <v>12.057906460020686</v>
      </c>
      <c r="K82" s="9">
        <v>88.938294027072899</v>
      </c>
      <c r="L82" s="9">
        <v>7474.704232244485</v>
      </c>
      <c r="M82" s="9">
        <v>170.43838789478056</v>
      </c>
      <c r="N82" s="9">
        <v>494.45999467388759</v>
      </c>
      <c r="O82" s="9">
        <v>10938.127385368922</v>
      </c>
      <c r="P82" s="9">
        <v>3945.5337213231769</v>
      </c>
      <c r="Q82" s="9">
        <v>40.956214382184832</v>
      </c>
      <c r="R82" s="9">
        <v>10962.408322549501</v>
      </c>
      <c r="S82" s="9">
        <v>141.57409178590262</v>
      </c>
      <c r="T82" s="9">
        <v>5299.2282525730825</v>
      </c>
      <c r="U82" s="9">
        <v>157.210108561189</v>
      </c>
      <c r="V82" s="9">
        <v>640.33949526964091</v>
      </c>
      <c r="W82" s="9">
        <v>2261.9390843562819</v>
      </c>
      <c r="X82" s="9">
        <v>256.95696915090468</v>
      </c>
      <c r="Y82" s="9">
        <v>749.85474794068523</v>
      </c>
      <c r="Z82" s="9">
        <v>801.40721061724355</v>
      </c>
      <c r="AA82" s="9">
        <v>434.33875224502299</v>
      </c>
      <c r="AB82" s="9">
        <v>2694.9499788889675</v>
      </c>
      <c r="AC82" s="9">
        <v>2147.3391592650896</v>
      </c>
      <c r="AD82" s="9">
        <v>350.5</v>
      </c>
      <c r="AE82" s="9">
        <v>4047.552587255936</v>
      </c>
      <c r="AF82" s="9">
        <v>4326.9404156288156</v>
      </c>
      <c r="AG82" s="9">
        <v>16810.9608891229</v>
      </c>
      <c r="AH82" s="9">
        <v>1572.8973715370462</v>
      </c>
      <c r="AI82" s="9">
        <v>177</v>
      </c>
      <c r="AJ82" s="9">
        <v>3097.2804252872647</v>
      </c>
      <c r="AK82" s="9">
        <v>5.4004399919951913</v>
      </c>
      <c r="AL82" s="9">
        <v>53.64419041314207</v>
      </c>
      <c r="AM82" s="9">
        <v>13.09766794759445</v>
      </c>
      <c r="AN82" s="9">
        <v>945.16472788224291</v>
      </c>
      <c r="AO82" s="9">
        <v>4002.7635114468094</v>
      </c>
      <c r="AP82" s="9">
        <v>852.98842103271591</v>
      </c>
      <c r="AQ82" s="11">
        <v>5.9347535237400875</v>
      </c>
      <c r="AR82" s="9">
        <v>3995.2420873032938</v>
      </c>
      <c r="AS82" s="9">
        <v>83.02631924613776</v>
      </c>
      <c r="AT82" s="9">
        <v>1451.8795054614525</v>
      </c>
      <c r="AU82" s="9">
        <v>194.87207778463312</v>
      </c>
      <c r="AV82" s="9">
        <f t="shared" si="3"/>
        <v>119467.19356061742</v>
      </c>
    </row>
    <row r="83" spans="1:48" x14ac:dyDescent="0.3">
      <c r="A83" s="3">
        <f t="shared" si="4"/>
        <v>1879</v>
      </c>
      <c r="B83" s="9">
        <v>4225.9529018333869</v>
      </c>
      <c r="C83" s="9">
        <v>3201.2043779161859</v>
      </c>
      <c r="D83" s="9">
        <v>178.9182110085726</v>
      </c>
      <c r="E83" s="9">
        <v>127.71598554676547</v>
      </c>
      <c r="F83" s="9">
        <v>9435.519172949269</v>
      </c>
      <c r="G83" s="9">
        <v>7559.1554628635968</v>
      </c>
      <c r="H83" s="9">
        <v>98.689738075471254</v>
      </c>
      <c r="I83" s="9">
        <v>3123.7447088472959</v>
      </c>
      <c r="J83" s="9">
        <v>12.456002616272356</v>
      </c>
      <c r="K83" s="9">
        <v>89.116170615127047</v>
      </c>
      <c r="L83" s="9">
        <v>7564.4006830314192</v>
      </c>
      <c r="M83" s="9">
        <v>171.63145661004398</v>
      </c>
      <c r="N83" s="9">
        <v>494.95445466856143</v>
      </c>
      <c r="O83" s="9">
        <v>10949.065512754289</v>
      </c>
      <c r="P83" s="9">
        <v>3960.2739237559276</v>
      </c>
      <c r="Q83" s="9">
        <v>40.99717059656701</v>
      </c>
      <c r="R83" s="9">
        <v>11027.816420776804</v>
      </c>
      <c r="S83" s="9">
        <v>142.84825861197572</v>
      </c>
      <c r="T83" s="9">
        <v>5293.9290243205096</v>
      </c>
      <c r="U83" s="9">
        <v>158.79808945574646</v>
      </c>
      <c r="V83" s="9">
        <v>646.10255072706764</v>
      </c>
      <c r="W83" s="9">
        <v>2277.2410312876864</v>
      </c>
      <c r="X83" s="9">
        <v>258.75566793496102</v>
      </c>
      <c r="Y83" s="9">
        <v>750.60460268862585</v>
      </c>
      <c r="Z83" s="9">
        <v>802.20861782786051</v>
      </c>
      <c r="AA83" s="9">
        <v>437.37912351073817</v>
      </c>
      <c r="AB83" s="9">
        <v>2705.7297788045234</v>
      </c>
      <c r="AC83" s="9">
        <v>2144.0883646417028</v>
      </c>
      <c r="AD83" s="9">
        <v>354.4</v>
      </c>
      <c r="AE83" s="9">
        <v>4067.7903501922151</v>
      </c>
      <c r="AF83" s="9">
        <v>4318.2865347975576</v>
      </c>
      <c r="AG83" s="9">
        <v>16900.081258821003</v>
      </c>
      <c r="AH83" s="9">
        <v>1574.6700719312041</v>
      </c>
      <c r="AI83" s="9">
        <v>177</v>
      </c>
      <c r="AJ83" s="9">
        <v>3109.6347756188889</v>
      </c>
      <c r="AK83" s="9">
        <v>5.294964672313216</v>
      </c>
      <c r="AL83" s="9">
        <v>53.697834603555208</v>
      </c>
      <c r="AM83" s="9">
        <v>13.411003050653507</v>
      </c>
      <c r="AN83" s="9">
        <v>951.78088097741852</v>
      </c>
      <c r="AO83" s="9">
        <v>4043.1954661078876</v>
      </c>
      <c r="AP83" s="9">
        <v>861.60446568961231</v>
      </c>
      <c r="AQ83" s="11">
        <v>5.994700529030391</v>
      </c>
      <c r="AR83" s="9">
        <v>3995.2420873032938</v>
      </c>
      <c r="AS83" s="9">
        <v>83.864968935492669</v>
      </c>
      <c r="AT83" s="9">
        <v>1459.1389029887596</v>
      </c>
      <c r="AU83" s="9">
        <v>195.2618219402024</v>
      </c>
      <c r="AV83" s="9">
        <f t="shared" si="3"/>
        <v>120049.64755243607</v>
      </c>
    </row>
    <row r="84" spans="1:48" x14ac:dyDescent="0.3">
      <c r="A84" s="3">
        <f t="shared" si="4"/>
        <v>1880</v>
      </c>
      <c r="B84" s="9">
        <v>4255.7120000984023</v>
      </c>
      <c r="C84" s="9">
        <v>3217.3549609212923</v>
      </c>
      <c r="D84" s="9">
        <v>180.72546566522504</v>
      </c>
      <c r="E84" s="9">
        <v>129.00604600683351</v>
      </c>
      <c r="F84" s="9">
        <v>9507.638709427154</v>
      </c>
      <c r="G84" s="9">
        <v>7604.5913655304757</v>
      </c>
      <c r="H84" s="9">
        <v>100.40891135469197</v>
      </c>
      <c r="I84" s="9">
        <v>3142.7257169038171</v>
      </c>
      <c r="J84" s="9">
        <v>12.89116746540487</v>
      </c>
      <c r="K84" s="9">
        <v>89.294402956357303</v>
      </c>
      <c r="L84" s="9">
        <v>7655.1734912277961</v>
      </c>
      <c r="M84" s="9">
        <v>172.83287680631403</v>
      </c>
      <c r="N84" s="9">
        <v>495.44940912323085</v>
      </c>
      <c r="O84" s="9">
        <v>10960.014578267075</v>
      </c>
      <c r="P84" s="9">
        <v>3975.0896059479551</v>
      </c>
      <c r="Q84" s="9">
        <v>41.038167767163571</v>
      </c>
      <c r="R84" s="9">
        <v>11093.676269449268</v>
      </c>
      <c r="S84" s="9">
        <v>144.13389293948367</v>
      </c>
      <c r="T84" s="9">
        <v>5288.6350952961848</v>
      </c>
      <c r="U84" s="9">
        <v>160.40211056135999</v>
      </c>
      <c r="V84" s="9">
        <v>651.91747368361246</v>
      </c>
      <c r="W84" s="9">
        <v>2292.6464954099438</v>
      </c>
      <c r="X84" s="9">
        <v>260.56695761050582</v>
      </c>
      <c r="Y84" s="9">
        <v>751.3552072913144</v>
      </c>
      <c r="Z84" s="9">
        <v>803.01082644568748</v>
      </c>
      <c r="AA84" s="9">
        <v>440.44077737531319</v>
      </c>
      <c r="AB84" s="9">
        <v>2716.5526979197416</v>
      </c>
      <c r="AC84" s="9">
        <v>2140.8424913022386</v>
      </c>
      <c r="AD84" s="9">
        <v>357.3</v>
      </c>
      <c r="AE84" s="9">
        <v>4088.129301943176</v>
      </c>
      <c r="AF84" s="9">
        <v>4309.6499617279605</v>
      </c>
      <c r="AG84" s="9">
        <v>16989.674084576032</v>
      </c>
      <c r="AH84" s="9">
        <v>1576.444770209486</v>
      </c>
      <c r="AI84" s="9">
        <v>177</v>
      </c>
      <c r="AJ84" s="9">
        <v>3122.0662797901896</v>
      </c>
      <c r="AK84" s="9">
        <v>5.1915493779400128</v>
      </c>
      <c r="AL84" s="9">
        <v>53.751532438158755</v>
      </c>
      <c r="AM84" s="9">
        <v>13.731834059640386</v>
      </c>
      <c r="AN84" s="9">
        <v>958.44334714426077</v>
      </c>
      <c r="AO84" s="9">
        <v>4084.0358243514074</v>
      </c>
      <c r="AP84" s="9">
        <v>870.30754110061753</v>
      </c>
      <c r="AQ84" s="11">
        <v>6.0552530596266587</v>
      </c>
      <c r="AR84" s="9">
        <v>3995.2420873032934</v>
      </c>
      <c r="AS84" s="9">
        <v>84.712089833830973</v>
      </c>
      <c r="AT84" s="9">
        <v>1466.4345975037031</v>
      </c>
      <c r="AU84" s="9">
        <v>195.65234558408281</v>
      </c>
      <c r="AV84" s="9">
        <f t="shared" si="3"/>
        <v>120637.94957075726</v>
      </c>
    </row>
    <row r="85" spans="1:48" x14ac:dyDescent="0.3">
      <c r="A85" s="3">
        <f t="shared" si="4"/>
        <v>1881</v>
      </c>
      <c r="B85" s="9">
        <v>4275.0947323820219</v>
      </c>
      <c r="C85" s="9">
        <v>3233.5166227742598</v>
      </c>
      <c r="D85" s="9">
        <v>182.55097541941925</v>
      </c>
      <c r="E85" s="9">
        <v>130.3091373806399</v>
      </c>
      <c r="F85" s="9">
        <v>9550.9433275944921</v>
      </c>
      <c r="G85" s="9">
        <v>7650.3079285881513</v>
      </c>
      <c r="H85" s="9">
        <v>102.15803259832744</v>
      </c>
      <c r="I85" s="9">
        <v>3161.8816552349199</v>
      </c>
      <c r="J85" s="9">
        <v>13.369091405082019</v>
      </c>
      <c r="K85" s="9">
        <v>89.472991762270013</v>
      </c>
      <c r="L85" s="9">
        <v>7747.03557312253</v>
      </c>
      <c r="M85" s="9">
        <v>174.04270694395825</v>
      </c>
      <c r="N85" s="9">
        <v>495.94485853235398</v>
      </c>
      <c r="O85" s="9">
        <v>10970.974592845338</v>
      </c>
      <c r="P85" s="9">
        <v>3989.4078846125276</v>
      </c>
      <c r="Q85" s="9">
        <v>41.079205934930719</v>
      </c>
      <c r="R85" s="9">
        <v>11152.418711541484</v>
      </c>
      <c r="S85" s="9">
        <v>145.43109797593902</v>
      </c>
      <c r="T85" s="9">
        <v>5299.2123654867773</v>
      </c>
      <c r="U85" s="9">
        <v>162.02233390036361</v>
      </c>
      <c r="V85" s="9">
        <v>656.48089599939783</v>
      </c>
      <c r="W85" s="9">
        <v>2311.2348484141485</v>
      </c>
      <c r="X85" s="9">
        <v>262.3909263137794</v>
      </c>
      <c r="Y85" s="9">
        <v>752.10656249860563</v>
      </c>
      <c r="Z85" s="9">
        <v>803.81383727213313</v>
      </c>
      <c r="AA85" s="9">
        <v>443.52386281694015</v>
      </c>
      <c r="AB85" s="9">
        <v>2727.4189087114205</v>
      </c>
      <c r="AC85" s="9">
        <v>2144.0294087583998</v>
      </c>
      <c r="AD85" s="9">
        <v>359.3</v>
      </c>
      <c r="AE85" s="9">
        <v>4108.5699484528914</v>
      </c>
      <c r="AF85" s="9">
        <v>4313.9596116896873</v>
      </c>
      <c r="AG85" s="9">
        <v>17097.374113924794</v>
      </c>
      <c r="AH85" s="9">
        <v>1581.3247282981883</v>
      </c>
      <c r="AI85" s="9">
        <v>177</v>
      </c>
      <c r="AJ85" s="9">
        <v>3139.2481061500757</v>
      </c>
      <c r="AK85" s="9">
        <v>5.0999999999999996</v>
      </c>
      <c r="AL85" s="9">
        <v>53.805283970596911</v>
      </c>
      <c r="AM85" s="9">
        <v>14.1</v>
      </c>
      <c r="AN85" s="9">
        <v>965.15245057427069</v>
      </c>
      <c r="AO85" s="9">
        <v>4125.288711466068</v>
      </c>
      <c r="AP85" s="9">
        <v>879.09852636426001</v>
      </c>
      <c r="AQ85" s="11">
        <v>6.1164172319461176</v>
      </c>
      <c r="AR85" s="9">
        <v>3999.2373293905957</v>
      </c>
      <c r="AS85" s="9">
        <v>85.567767508920198</v>
      </c>
      <c r="AT85" s="9">
        <v>1478.1660742837328</v>
      </c>
      <c r="AU85" s="9">
        <v>196.04365027525097</v>
      </c>
      <c r="AV85" s="9">
        <f t="shared" si="3"/>
        <v>121252.6257964019</v>
      </c>
    </row>
    <row r="86" spans="1:48" x14ac:dyDescent="0.3">
      <c r="A86" s="3">
        <f t="shared" si="4"/>
        <v>1882</v>
      </c>
      <c r="B86" s="9">
        <v>4297.8700855984098</v>
      </c>
      <c r="C86" s="9">
        <v>3249.7594691148029</v>
      </c>
      <c r="D86" s="9">
        <v>184.39492466608002</v>
      </c>
      <c r="E86" s="9">
        <v>131.62539129357563</v>
      </c>
      <c r="F86" s="9">
        <v>9594.4451861084544</v>
      </c>
      <c r="G86" s="9">
        <v>7696.306929704725</v>
      </c>
      <c r="H86" s="9">
        <v>104</v>
      </c>
      <c r="I86" s="9">
        <v>3181.154355258388</v>
      </c>
      <c r="J86" s="9">
        <v>13.896412639224877</v>
      </c>
      <c r="K86" s="9">
        <v>89.651937745794555</v>
      </c>
      <c r="L86" s="9">
        <v>7840</v>
      </c>
      <c r="M86" s="9">
        <v>175.26100589256592</v>
      </c>
      <c r="N86" s="9">
        <v>496.44080339088623</v>
      </c>
      <c r="O86" s="9">
        <v>10981.945567438179</v>
      </c>
      <c r="P86" s="9">
        <v>4003.793814396769</v>
      </c>
      <c r="Q86" s="9">
        <v>41.120285140865633</v>
      </c>
      <c r="R86" s="9">
        <v>11211.503096618406</v>
      </c>
      <c r="S86" s="9">
        <v>146.73997785772247</v>
      </c>
      <c r="T86" s="9">
        <v>5309.8107902177517</v>
      </c>
      <c r="U86" s="9">
        <v>163.65892313168038</v>
      </c>
      <c r="V86" s="9">
        <v>661.07626227139372</v>
      </c>
      <c r="W86" s="9">
        <v>2329.9739123404693</v>
      </c>
      <c r="X86" s="9">
        <v>264.22766279797588</v>
      </c>
      <c r="Y86" s="9">
        <v>752.85866906110414</v>
      </c>
      <c r="Z86" s="9">
        <v>804.6176511094053</v>
      </c>
      <c r="AA86" s="9">
        <v>446.62852985665859</v>
      </c>
      <c r="AB86" s="9">
        <v>2738.3285843462659</v>
      </c>
      <c r="AC86" s="9">
        <v>2147.2210703481956</v>
      </c>
      <c r="AD86" s="9">
        <v>358.5</v>
      </c>
      <c r="AE86" s="9">
        <v>4129.1127981951549</v>
      </c>
      <c r="AF86" s="9">
        <v>4318.2735713013763</v>
      </c>
      <c r="AG86" s="9">
        <v>17205.756869514444</v>
      </c>
      <c r="AH86" s="9">
        <v>1586.2197925240655</v>
      </c>
      <c r="AI86" s="9">
        <v>177</v>
      </c>
      <c r="AJ86" s="9">
        <v>3156.5315147440865</v>
      </c>
      <c r="AK86" s="9">
        <v>4.9631853668367132</v>
      </c>
      <c r="AL86" s="9">
        <v>53.8590892545675</v>
      </c>
      <c r="AM86" s="9">
        <v>14.313060217798903</v>
      </c>
      <c r="AN86" s="9">
        <v>971.9085177282908</v>
      </c>
      <c r="AO86" s="9">
        <v>4166.9582944101685</v>
      </c>
      <c r="AP86" s="9">
        <v>887.97830945884846</v>
      </c>
      <c r="AQ86" s="11">
        <v>6.1781992241879982</v>
      </c>
      <c r="AR86" s="9">
        <v>4003.2365667199856</v>
      </c>
      <c r="AS86" s="9">
        <v>86.432088392848684</v>
      </c>
      <c r="AT86" s="9">
        <v>1489.9914028780026</v>
      </c>
      <c r="AU86" s="9">
        <v>196.43573757580148</v>
      </c>
      <c r="AV86" s="9">
        <f t="shared" si="3"/>
        <v>121871.96029585223</v>
      </c>
    </row>
    <row r="87" spans="1:48" x14ac:dyDescent="0.3">
      <c r="A87" s="3">
        <f t="shared" si="4"/>
        <v>1883</v>
      </c>
      <c r="B87" s="9">
        <v>4320.6400175056133</v>
      </c>
      <c r="C87" s="9">
        <v>3266.0839077550054</v>
      </c>
      <c r="D87" s="9">
        <v>186.25749966270706</v>
      </c>
      <c r="E87" s="9">
        <v>132.95494070058143</v>
      </c>
      <c r="F87" s="9">
        <v>9638.1451833433021</v>
      </c>
      <c r="G87" s="9">
        <v>7742.5901580571972</v>
      </c>
      <c r="H87" s="9">
        <v>106.25816247525999</v>
      </c>
      <c r="I87" s="9">
        <v>3200.5445286748209</v>
      </c>
      <c r="J87" s="9">
        <v>14.48087654166415</v>
      </c>
      <c r="K87" s="9">
        <v>89.831241621286139</v>
      </c>
      <c r="L87" s="9">
        <v>7900</v>
      </c>
      <c r="M87" s="9">
        <v>176.48783293381385</v>
      </c>
      <c r="N87" s="9">
        <v>496.93724419427707</v>
      </c>
      <c r="O87" s="9">
        <v>10992.927513005614</v>
      </c>
      <c r="P87" s="9">
        <v>4018.2477845153503</v>
      </c>
      <c r="Q87" s="9">
        <v>41.161405426006489</v>
      </c>
      <c r="R87" s="9">
        <v>11270.931618558558</v>
      </c>
      <c r="S87" s="9">
        <v>148.06063765844203</v>
      </c>
      <c r="T87" s="9">
        <v>5320.4304117981883</v>
      </c>
      <c r="U87" s="9">
        <v>165.31204356735392</v>
      </c>
      <c r="V87" s="9">
        <v>665.70379610729344</v>
      </c>
      <c r="W87" s="9">
        <v>2348.8649091251391</v>
      </c>
      <c r="X87" s="9">
        <v>266.07725643756169</v>
      </c>
      <c r="Y87" s="9">
        <v>753.61152773016511</v>
      </c>
      <c r="Z87" s="9">
        <v>805.42226876051495</v>
      </c>
      <c r="AA87" s="9">
        <v>449.75492956565506</v>
      </c>
      <c r="AB87" s="9">
        <v>2749.2818986836514</v>
      </c>
      <c r="AC87" s="9">
        <v>2150.4174831338778</v>
      </c>
      <c r="AD87" s="9">
        <v>358.2</v>
      </c>
      <c r="AE87" s="9">
        <v>4149.7583621861304</v>
      </c>
      <c r="AF87" s="9">
        <v>4322.5918448726779</v>
      </c>
      <c r="AG87" s="9">
        <v>17314.826679246496</v>
      </c>
      <c r="AH87" s="9">
        <v>1591.1300096488681</v>
      </c>
      <c r="AI87" s="9">
        <v>177</v>
      </c>
      <c r="AJ87" s="9">
        <v>3173.9171418856595</v>
      </c>
      <c r="AK87" s="9">
        <v>4.8300409775651145</v>
      </c>
      <c r="AL87" s="9">
        <v>53.912948343822059</v>
      </c>
      <c r="AM87" s="9">
        <v>14.529339914775715</v>
      </c>
      <c r="AN87" s="9">
        <v>978.7118773523888</v>
      </c>
      <c r="AO87" s="9">
        <v>4209.0487822324931</v>
      </c>
      <c r="AP87" s="9">
        <v>896.94778733217004</v>
      </c>
      <c r="AQ87" s="11">
        <v>6.2406052769575746</v>
      </c>
      <c r="AR87" s="9">
        <v>4007.2398032867054</v>
      </c>
      <c r="AS87" s="9">
        <v>87.305139790756257</v>
      </c>
      <c r="AT87" s="9">
        <v>1501.9113341010266</v>
      </c>
      <c r="AU87" s="9">
        <v>196.82860905095308</v>
      </c>
      <c r="AV87" s="9">
        <f t="shared" si="3"/>
        <v>122462.34738303833</v>
      </c>
    </row>
    <row r="88" spans="1:48" x14ac:dyDescent="0.3">
      <c r="A88" s="3">
        <f t="shared" si="4"/>
        <v>1884</v>
      </c>
      <c r="B88" s="9">
        <v>4346.2591243514617</v>
      </c>
      <c r="C88" s="9">
        <v>3282.4903485555069</v>
      </c>
      <c r="D88" s="9">
        <v>188.13888854818893</v>
      </c>
      <c r="E88" s="9">
        <v>134.29791989957718</v>
      </c>
      <c r="F88" s="9">
        <v>9682.044221765138</v>
      </c>
      <c r="G88" s="9">
        <v>7789.1594144073606</v>
      </c>
      <c r="H88" s="9">
        <v>108.56535665979568</v>
      </c>
      <c r="I88" s="9">
        <v>3220.052891522866</v>
      </c>
      <c r="J88" s="9">
        <v>15.131521842838591</v>
      </c>
      <c r="K88" s="9">
        <v>90.010904104528706</v>
      </c>
      <c r="L88" s="9">
        <v>8020</v>
      </c>
      <c r="M88" s="9">
        <v>177.72324776435056</v>
      </c>
      <c r="N88" s="9">
        <v>497.43418143847128</v>
      </c>
      <c r="O88" s="9">
        <v>11003.920440518616</v>
      </c>
      <c r="P88" s="9">
        <v>4032.7701866725556</v>
      </c>
      <c r="Q88" s="9">
        <v>41.202566831432478</v>
      </c>
      <c r="R88" s="9">
        <v>11330.70648660121</v>
      </c>
      <c r="S88" s="9">
        <v>149.39318339736801</v>
      </c>
      <c r="T88" s="9">
        <v>5331.0712726217871</v>
      </c>
      <c r="U88" s="9">
        <v>166.98186218924633</v>
      </c>
      <c r="V88" s="9">
        <v>670.36372268004459</v>
      </c>
      <c r="W88" s="9">
        <v>2367.9090706116222</v>
      </c>
      <c r="X88" s="9">
        <v>267.9397972326247</v>
      </c>
      <c r="Y88" s="9">
        <v>754.36513925789518</v>
      </c>
      <c r="Z88" s="9">
        <v>806.22769102927543</v>
      </c>
      <c r="AA88" s="9">
        <v>452.9032140726145</v>
      </c>
      <c r="AB88" s="9">
        <v>2760.279026278386</v>
      </c>
      <c r="AC88" s="9">
        <v>2153.6186541882057</v>
      </c>
      <c r="AD88" s="9">
        <v>363</v>
      </c>
      <c r="AE88" s="9">
        <v>4170.5071539970604</v>
      </c>
      <c r="AF88" s="9">
        <v>4326.9144367175504</v>
      </c>
      <c r="AG88" s="9">
        <v>17424.587898457667</v>
      </c>
      <c r="AH88" s="9">
        <v>1596.0554265790986</v>
      </c>
      <c r="AI88" s="9">
        <v>177</v>
      </c>
      <c r="AJ88" s="9">
        <v>3191.4056280433765</v>
      </c>
      <c r="AK88" s="9">
        <v>4.7004683727593868</v>
      </c>
      <c r="AL88" s="9">
        <v>53.966861292165873</v>
      </c>
      <c r="AM88" s="9">
        <v>14.748887739365532</v>
      </c>
      <c r="AN88" s="9">
        <v>985.56286049385562</v>
      </c>
      <c r="AO88" s="9">
        <v>4251.5644264974671</v>
      </c>
      <c r="AP88" s="9">
        <v>906.00786599209073</v>
      </c>
      <c r="AQ88" s="11">
        <v>6.3036416938965401</v>
      </c>
      <c r="AR88" s="9">
        <v>4011.2470430899921</v>
      </c>
      <c r="AS88" s="9">
        <v>88.187009889652799</v>
      </c>
      <c r="AT88" s="9">
        <v>1513.9266247738349</v>
      </c>
      <c r="AU88" s="9">
        <v>197.22226626905498</v>
      </c>
      <c r="AV88" s="9">
        <f t="shared" si="3"/>
        <v>123123.86883494185</v>
      </c>
    </row>
    <row r="89" spans="1:48" x14ac:dyDescent="0.3">
      <c r="A89" s="3">
        <f t="shared" si="4"/>
        <v>1885</v>
      </c>
      <c r="B89" s="9">
        <v>4374.7467163056654</v>
      </c>
      <c r="C89" s="9">
        <v>3298.9792034357879</v>
      </c>
      <c r="D89" s="9">
        <v>190.03928136180696</v>
      </c>
      <c r="E89" s="9">
        <v>135.65446454502745</v>
      </c>
      <c r="F89" s="9">
        <v>9726.1432079505394</v>
      </c>
      <c r="G89" s="9">
        <v>7836.0165111781935</v>
      </c>
      <c r="H89" s="9">
        <v>111</v>
      </c>
      <c r="I89" s="9">
        <v>3239.6801642056603</v>
      </c>
      <c r="J89" s="9">
        <v>15.858898154728399</v>
      </c>
      <c r="K89" s="9">
        <v>90.190925912737768</v>
      </c>
      <c r="L89" s="9">
        <v>8141</v>
      </c>
      <c r="M89" s="9">
        <v>178.96731049870098</v>
      </c>
      <c r="N89" s="9">
        <v>497.93161561990968</v>
      </c>
      <c r="O89" s="9">
        <v>11014.924360959129</v>
      </c>
      <c r="P89" s="9">
        <v>4047.3614150790122</v>
      </c>
      <c r="Q89" s="9">
        <v>41.243769398263893</v>
      </c>
      <c r="R89" s="9">
        <v>11390.829925461694</v>
      </c>
      <c r="S89" s="9">
        <v>150.73772204794435</v>
      </c>
      <c r="T89" s="9">
        <v>5341.7334151670302</v>
      </c>
      <c r="U89" s="9">
        <v>168.66854766590535</v>
      </c>
      <c r="V89" s="9">
        <v>675.05626873880499</v>
      </c>
      <c r="W89" s="9">
        <v>2387.1076386309442</v>
      </c>
      <c r="X89" s="9">
        <v>269.81537581325307</v>
      </c>
      <c r="Y89" s="9">
        <v>755.11950439715304</v>
      </c>
      <c r="Z89" s="9">
        <v>807.03391872030477</v>
      </c>
      <c r="AA89" s="9">
        <v>456.0735365711227</v>
      </c>
      <c r="AB89" s="9">
        <v>2771.3201423834994</v>
      </c>
      <c r="AC89" s="9">
        <v>2156.8245905944705</v>
      </c>
      <c r="AD89" s="9">
        <v>366.5</v>
      </c>
      <c r="AE89" s="9">
        <v>4191.359689767045</v>
      </c>
      <c r="AF89" s="9">
        <v>4331.2413511542672</v>
      </c>
      <c r="AG89" s="9">
        <v>17535.044910093788</v>
      </c>
      <c r="AH89" s="9">
        <v>1600.9960903664619</v>
      </c>
      <c r="AI89" s="9">
        <v>177</v>
      </c>
      <c r="AJ89" s="9">
        <v>3208.9976178688557</v>
      </c>
      <c r="AK89" s="9">
        <v>4.5743717343055232</v>
      </c>
      <c r="AL89" s="9">
        <v>54.020828153458034</v>
      </c>
      <c r="AM89" s="9">
        <v>14.971753075113106</v>
      </c>
      <c r="AN89" s="9">
        <v>992.46180051731267</v>
      </c>
      <c r="AO89" s="9">
        <v>4294.5095217146118</v>
      </c>
      <c r="AP89" s="9">
        <v>915.15946059807129</v>
      </c>
      <c r="AQ89" s="11">
        <v>6.367314842319737</v>
      </c>
      <c r="AR89" s="9">
        <v>4015.2582901330811</v>
      </c>
      <c r="AS89" s="9">
        <v>89.077787767326058</v>
      </c>
      <c r="AT89" s="9">
        <v>1526.0380377720255</v>
      </c>
      <c r="AU89" s="9">
        <v>197.61671080159309</v>
      </c>
      <c r="AV89" s="9">
        <f t="shared" si="3"/>
        <v>123791.25396715691</v>
      </c>
    </row>
    <row r="90" spans="1:48" x14ac:dyDescent="0.3">
      <c r="A90" s="3">
        <f t="shared" si="4"/>
        <v>1886</v>
      </c>
      <c r="B90" s="9">
        <v>4403.7513727342894</v>
      </c>
      <c r="C90" s="9">
        <v>3315.5508863845157</v>
      </c>
      <c r="D90" s="9">
        <v>191.95887006243123</v>
      </c>
      <c r="E90" s="9">
        <v>137.02471166164383</v>
      </c>
      <c r="F90" s="9">
        <v>9770.4430526052947</v>
      </c>
      <c r="G90" s="9">
        <v>7883.16327253077</v>
      </c>
      <c r="H90" s="9">
        <v>118</v>
      </c>
      <c r="I90" s="9">
        <v>3259.4270715174325</v>
      </c>
      <c r="J90" s="9">
        <v>16.675320109274445</v>
      </c>
      <c r="K90" s="9">
        <v>90.371307764563241</v>
      </c>
      <c r="L90" s="9">
        <v>8265</v>
      </c>
      <c r="M90" s="9">
        <v>180.22008167219181</v>
      </c>
      <c r="N90" s="9">
        <v>498.42954723552953</v>
      </c>
      <c r="O90" s="9">
        <v>11025.939285320084</v>
      </c>
      <c r="P90" s="9">
        <v>4062.0218664685317</v>
      </c>
      <c r="Q90" s="9">
        <v>41.285013167662136</v>
      </c>
      <c r="R90" s="9">
        <v>11451.30417544768</v>
      </c>
      <c r="S90" s="9">
        <v>152.09436154637584</v>
      </c>
      <c r="T90" s="9">
        <v>5352.4168819973656</v>
      </c>
      <c r="U90" s="9">
        <v>170.37227036960135</v>
      </c>
      <c r="V90" s="9">
        <v>679.78166261997671</v>
      </c>
      <c r="W90" s="9">
        <v>2406.4618650826633</v>
      </c>
      <c r="X90" s="9">
        <v>271.70408344394593</v>
      </c>
      <c r="Y90" s="9">
        <v>755.87462390155008</v>
      </c>
      <c r="Z90" s="9">
        <v>807.84095263902509</v>
      </c>
      <c r="AA90" s="9">
        <v>459.26605132712035</v>
      </c>
      <c r="AB90" s="9">
        <v>2782.4054229530334</v>
      </c>
      <c r="AC90" s="9">
        <v>2160.0352994465084</v>
      </c>
      <c r="AD90" s="9">
        <v>364.3</v>
      </c>
      <c r="AE90" s="9">
        <v>4212.3164882158799</v>
      </c>
      <c r="AF90" s="9">
        <v>4335.5725925054194</v>
      </c>
      <c r="AG90" s="9">
        <v>17646.202124884821</v>
      </c>
      <c r="AH90" s="9">
        <v>1605.9520482083126</v>
      </c>
      <c r="AI90" s="9">
        <v>177</v>
      </c>
      <c r="AJ90" s="9">
        <v>3226.6937602248299</v>
      </c>
      <c r="AK90" s="9">
        <v>4.4516578145444416</v>
      </c>
      <c r="AL90" s="9">
        <v>54.074848981611488</v>
      </c>
      <c r="AM90" s="9">
        <v>15.197986051780838</v>
      </c>
      <c r="AN90" s="9">
        <v>999.40903312093405</v>
      </c>
      <c r="AO90" s="9">
        <v>4337.8884057723353</v>
      </c>
      <c r="AP90" s="9">
        <v>924.4034955536074</v>
      </c>
      <c r="AQ90" s="11">
        <v>6.431631153858322</v>
      </c>
      <c r="AR90" s="9">
        <v>4019.2735484232135</v>
      </c>
      <c r="AS90" s="9">
        <v>89.977563401339481</v>
      </c>
      <c r="AT90" s="9">
        <v>1538.2463420742017</v>
      </c>
      <c r="AU90" s="9">
        <v>198.01194422319628</v>
      </c>
      <c r="AV90" s="9">
        <f t="shared" si="3"/>
        <v>124464.2227806189</v>
      </c>
    </row>
    <row r="91" spans="1:48" x14ac:dyDescent="0.3">
      <c r="A91" s="3">
        <f t="shared" si="4"/>
        <v>1887</v>
      </c>
      <c r="B91" s="9">
        <v>4430.7653681570591</v>
      </c>
      <c r="C91" s="9">
        <v>3332.2058134699328</v>
      </c>
      <c r="D91" s="9">
        <v>193.89784854791034</v>
      </c>
      <c r="E91" s="9">
        <v>138.40879965822612</v>
      </c>
      <c r="F91" s="9">
        <v>9814.9446705831942</v>
      </c>
      <c r="G91" s="9">
        <v>7930.6015344416883</v>
      </c>
      <c r="H91" s="9">
        <v>118</v>
      </c>
      <c r="I91" s="9">
        <v>3279.2943426702664</v>
      </c>
      <c r="J91" s="9">
        <v>18.267000000000003</v>
      </c>
      <c r="K91" s="9">
        <v>90.552050380092368</v>
      </c>
      <c r="L91" s="9">
        <v>8390</v>
      </c>
      <c r="M91" s="9">
        <v>181.48162224389716</v>
      </c>
      <c r="N91" s="9">
        <v>498.92797678276503</v>
      </c>
      <c r="O91" s="9">
        <v>11036.965224605401</v>
      </c>
      <c r="P91" s="9">
        <v>4076.7519401150694</v>
      </c>
      <c r="Q91" s="9">
        <v>41.326298180829795</v>
      </c>
      <c r="R91" s="9">
        <v>11512.131492576347</v>
      </c>
      <c r="S91" s="9">
        <v>153.46321080029327</v>
      </c>
      <c r="T91" s="9">
        <v>5363.1217157613619</v>
      </c>
      <c r="U91" s="9">
        <v>172.09320239353673</v>
      </c>
      <c r="V91" s="9">
        <v>684.54013425831658</v>
      </c>
      <c r="W91" s="9">
        <v>2425.9730120165113</v>
      </c>
      <c r="X91" s="9">
        <v>273.6060120280535</v>
      </c>
      <c r="Y91" s="9">
        <v>756.63049852545157</v>
      </c>
      <c r="Z91" s="9">
        <v>808.64879359166434</v>
      </c>
      <c r="AA91" s="9">
        <v>462.48091368641002</v>
      </c>
      <c r="AB91" s="9">
        <v>2793.535044644846</v>
      </c>
      <c r="AC91" s="9">
        <v>2163.2507878487127</v>
      </c>
      <c r="AD91" s="9">
        <v>363.1</v>
      </c>
      <c r="AE91" s="9">
        <v>4233.3780706569587</v>
      </c>
      <c r="AF91" s="9">
        <v>4339.908165097926</v>
      </c>
      <c r="AG91" s="9">
        <v>17758.063981521002</v>
      </c>
      <c r="AH91" s="9">
        <v>1610.9233474481084</v>
      </c>
      <c r="AI91" s="9">
        <v>177</v>
      </c>
      <c r="AJ91" s="9">
        <v>3244.4947082134204</v>
      </c>
      <c r="AK91" s="9">
        <v>4.3322358673159371</v>
      </c>
      <c r="AL91" s="9">
        <v>54.128923830593095</v>
      </c>
      <c r="AM91" s="9">
        <v>15.427637556624605</v>
      </c>
      <c r="AN91" s="9">
        <v>1006.4048963527806</v>
      </c>
      <c r="AO91" s="9">
        <v>4381.7054603760953</v>
      </c>
      <c r="AP91" s="9">
        <v>933.74090459960337</v>
      </c>
      <c r="AQ91" s="11">
        <v>6.4965971251094157</v>
      </c>
      <c r="AR91" s="9">
        <v>4023.2928219716364</v>
      </c>
      <c r="AS91" s="9">
        <v>90.886427678120668</v>
      </c>
      <c r="AT91" s="9">
        <v>1550.5523128107955</v>
      </c>
      <c r="AU91" s="9">
        <v>198.40796811164267</v>
      </c>
      <c r="AV91" s="9">
        <f t="shared" si="3"/>
        <v>125134.10976718555</v>
      </c>
    </row>
    <row r="92" spans="1:48" x14ac:dyDescent="0.3">
      <c r="A92" s="3">
        <f t="shared" si="4"/>
        <v>1888</v>
      </c>
      <c r="B92" s="9">
        <v>4456.7561922485693</v>
      </c>
      <c r="C92" s="9">
        <v>3348.944402850314</v>
      </c>
      <c r="D92" s="9">
        <v>195.85641267465689</v>
      </c>
      <c r="E92" s="9">
        <v>139.80686834164251</v>
      </c>
      <c r="F92" s="9">
        <v>9859.648980904929</v>
      </c>
      <c r="G92" s="9">
        <v>7978.3331447809996</v>
      </c>
      <c r="H92" s="9">
        <v>121</v>
      </c>
      <c r="I92" s="9">
        <v>3299.282711321036</v>
      </c>
      <c r="J92" s="9">
        <v>18.617586165930067</v>
      </c>
      <c r="K92" s="9">
        <v>90.733154480852548</v>
      </c>
      <c r="L92" s="9">
        <v>8517</v>
      </c>
      <c r="M92" s="9">
        <v>182.75199359960445</v>
      </c>
      <c r="N92" s="9">
        <v>499.42690475954777</v>
      </c>
      <c r="O92" s="9">
        <v>11048.002189830006</v>
      </c>
      <c r="P92" s="9">
        <v>4091.5520378498018</v>
      </c>
      <c r="Q92" s="9">
        <v>41.367624479010615</v>
      </c>
      <c r="R92" s="9">
        <v>11573.314148692483</v>
      </c>
      <c r="S92" s="9">
        <v>154.84437969749595</v>
      </c>
      <c r="T92" s="9">
        <v>5373.8479591928863</v>
      </c>
      <c r="U92" s="9">
        <v>173.83151756922896</v>
      </c>
      <c r="V92" s="9">
        <v>689.33191519812488</v>
      </c>
      <c r="W92" s="9">
        <v>2445.6423517146814</v>
      </c>
      <c r="X92" s="9">
        <v>275.52125411224995</v>
      </c>
      <c r="Y92" s="9">
        <v>757.38712902397697</v>
      </c>
      <c r="Z92" s="9">
        <v>809.45744238525606</v>
      </c>
      <c r="AA92" s="9">
        <v>465.71828008221473</v>
      </c>
      <c r="AB92" s="9">
        <v>2804.7091848234254</v>
      </c>
      <c r="AC92" s="9">
        <v>2166.4710629160559</v>
      </c>
      <c r="AD92" s="9">
        <v>363</v>
      </c>
      <c r="AE92" s="9">
        <v>4254.5449610102432</v>
      </c>
      <c r="AF92" s="9">
        <v>4344.2480732630229</v>
      </c>
      <c r="AG92" s="9">
        <v>17870.634946830058</v>
      </c>
      <c r="AH92" s="9">
        <v>1615.9100355758594</v>
      </c>
      <c r="AI92" s="9">
        <v>177</v>
      </c>
      <c r="AJ92" s="9">
        <v>3262.4011192045982</v>
      </c>
      <c r="AK92" s="9">
        <v>4.2160175808524745</v>
      </c>
      <c r="AL92" s="9">
        <v>54.183052754423684</v>
      </c>
      <c r="AM92" s="9">
        <v>15.660759245839994</v>
      </c>
      <c r="AN92" s="9">
        <v>1013.4497306272501</v>
      </c>
      <c r="AO92" s="9">
        <v>4425.9651114910048</v>
      </c>
      <c r="AP92" s="9">
        <v>943.17263090869005</v>
      </c>
      <c r="AQ92" s="11">
        <v>6.5622193182923398</v>
      </c>
      <c r="AR92" s="9">
        <v>4027.316114793608</v>
      </c>
      <c r="AS92" s="9">
        <v>91.804472402142096</v>
      </c>
      <c r="AT92" s="9">
        <v>1562.9567313132818</v>
      </c>
      <c r="AU92" s="9">
        <v>198.80478404786595</v>
      </c>
      <c r="AV92" s="9">
        <f t="shared" si="3"/>
        <v>125810.98759006202</v>
      </c>
    </row>
    <row r="93" spans="1:48" x14ac:dyDescent="0.3">
      <c r="A93" s="3">
        <f t="shared" si="4"/>
        <v>1889</v>
      </c>
      <c r="B93" s="9">
        <v>4483.2297274086723</v>
      </c>
      <c r="C93" s="9">
        <v>3365.7670747844536</v>
      </c>
      <c r="D93" s="9">
        <v>197.83476027743117</v>
      </c>
      <c r="E93" s="9">
        <v>141.219058930952</v>
      </c>
      <c r="F93" s="9">
        <v>9904.5569067770721</v>
      </c>
      <c r="G93" s="9">
        <v>8026.3599633906761</v>
      </c>
      <c r="H93" s="9">
        <v>127</v>
      </c>
      <c r="I93" s="9">
        <v>3319.3929155984883</v>
      </c>
      <c r="J93" s="9">
        <v>18.989749482271975</v>
      </c>
      <c r="K93" s="9">
        <v>90.914620789814251</v>
      </c>
      <c r="L93" s="9">
        <v>8646</v>
      </c>
      <c r="M93" s="9">
        <v>184.03125755480164</v>
      </c>
      <c r="N93" s="9">
        <v>499.92633166430727</v>
      </c>
      <c r="O93" s="9">
        <v>11059.050192019831</v>
      </c>
      <c r="P93" s="9">
        <v>4106.4225640783225</v>
      </c>
      <c r="Q93" s="9">
        <v>41.408992103489609</v>
      </c>
      <c r="R93" s="9">
        <v>11634.854431587533</v>
      </c>
      <c r="S93" s="9">
        <v>156.23797911477342</v>
      </c>
      <c r="T93" s="9">
        <v>5384.5956551112722</v>
      </c>
      <c r="U93" s="9">
        <v>175.58739148406966</v>
      </c>
      <c r="V93" s="9">
        <v>694.15723860451169</v>
      </c>
      <c r="W93" s="9">
        <v>2465.4711667747974</v>
      </c>
      <c r="X93" s="9">
        <v>277.44990289103572</v>
      </c>
      <c r="Y93" s="9">
        <v>758.14451615300084</v>
      </c>
      <c r="Z93" s="9">
        <v>810.26689982764128</v>
      </c>
      <c r="AA93" s="9">
        <v>468.9783080427901</v>
      </c>
      <c r="AB93" s="9">
        <v>2815.9280215627186</v>
      </c>
      <c r="AC93" s="9">
        <v>2169.6961317740988</v>
      </c>
      <c r="AD93" s="9">
        <v>364.3</v>
      </c>
      <c r="AE93" s="9">
        <v>4275.8176858152938</v>
      </c>
      <c r="AF93" s="9">
        <v>4348.5923213362848</v>
      </c>
      <c r="AG93" s="9">
        <v>17983.919515955597</v>
      </c>
      <c r="AH93" s="9">
        <v>1620.9121602285845</v>
      </c>
      <c r="AI93" s="9">
        <v>177</v>
      </c>
      <c r="AJ93" s="9">
        <v>3280.4136548648485</v>
      </c>
      <c r="AK93" s="9">
        <v>4.1029170124732008</v>
      </c>
      <c r="AL93" s="9">
        <v>54.237235807178102</v>
      </c>
      <c r="AM93" s="9">
        <v>15.897403556181473</v>
      </c>
      <c r="AN93" s="9">
        <v>1020.5438787416409</v>
      </c>
      <c r="AO93" s="9">
        <v>4470.6718297888938</v>
      </c>
      <c r="AP93" s="9">
        <v>952.69962718049499</v>
      </c>
      <c r="AQ93" s="11">
        <v>6.628504361911455</v>
      </c>
      <c r="AR93" s="9">
        <v>4031.3434309084009</v>
      </c>
      <c r="AS93" s="9">
        <v>92.731790305194039</v>
      </c>
      <c r="AT93" s="9">
        <v>1575.460385163788</v>
      </c>
      <c r="AU93" s="9">
        <v>199.20239361596168</v>
      </c>
      <c r="AV93" s="9">
        <f t="shared" si="3"/>
        <v>126497.94649243153</v>
      </c>
    </row>
    <row r="94" spans="1:48" x14ac:dyDescent="0.3">
      <c r="A94" s="3">
        <f t="shared" si="4"/>
        <v>1890</v>
      </c>
      <c r="B94" s="9">
        <v>4509.6445308152097</v>
      </c>
      <c r="C94" s="9">
        <v>3382.674251642221</v>
      </c>
      <c r="D94" s="9">
        <v>199.83309118932402</v>
      </c>
      <c r="E94" s="9">
        <v>142.64551407166874</v>
      </c>
      <c r="F94" s="9">
        <v>9949.6693756111508</v>
      </c>
      <c r="G94" s="9">
        <v>8074.6838621636025</v>
      </c>
      <c r="H94" s="9">
        <v>128</v>
      </c>
      <c r="I94" s="9">
        <v>3339.6256981305082</v>
      </c>
      <c r="J94" s="9">
        <v>19.384849361734112</v>
      </c>
      <c r="K94" s="9">
        <v>91.096450031393886</v>
      </c>
      <c r="L94" s="9">
        <v>8777</v>
      </c>
      <c r="M94" s="9">
        <v>185.31947635768523</v>
      </c>
      <c r="N94" s="9">
        <v>500.42625799597209</v>
      </c>
      <c r="O94" s="9">
        <v>11070.109242211893</v>
      </c>
      <c r="P94" s="9">
        <v>4121.3639257979485</v>
      </c>
      <c r="Q94" s="9">
        <v>41.450401095593037</v>
      </c>
      <c r="R94" s="9">
        <v>11696.754645119556</v>
      </c>
      <c r="S94" s="9">
        <v>157.64412092680629</v>
      </c>
      <c r="T94" s="9">
        <v>5395.3648464214957</v>
      </c>
      <c r="U94" s="9">
        <v>177.36100149906028</v>
      </c>
      <c r="V94" s="9">
        <v>699.01633927474313</v>
      </c>
      <c r="W94" s="9">
        <v>2485.4607501935466</v>
      </c>
      <c r="X94" s="9">
        <v>279.39205221127281</v>
      </c>
      <c r="Y94" s="9">
        <v>758.90266066915376</v>
      </c>
      <c r="Z94" s="9">
        <v>811.07716672746835</v>
      </c>
      <c r="AA94" s="9">
        <v>472.26115619909007</v>
      </c>
      <c r="AB94" s="9">
        <v>2827.1917336489701</v>
      </c>
      <c r="AC94" s="9">
        <v>2172.9260015590116</v>
      </c>
      <c r="AD94" s="9">
        <v>367.5</v>
      </c>
      <c r="AE94" s="9">
        <v>4297.1967742443694</v>
      </c>
      <c r="AF94" s="9">
        <v>4352.9409136576296</v>
      </c>
      <c r="AG94" s="9">
        <v>18097.92221253656</v>
      </c>
      <c r="AH94" s="9">
        <v>1625.9297691907598</v>
      </c>
      <c r="AI94" s="9">
        <v>177</v>
      </c>
      <c r="AJ94" s="9">
        <v>3298.5329811860256</v>
      </c>
      <c r="AK94" s="9">
        <v>3.9928505250298816</v>
      </c>
      <c r="AL94" s="9">
        <v>54.291473042985274</v>
      </c>
      <c r="AM94" s="9">
        <v>16.137623716757155</v>
      </c>
      <c r="AN94" s="9">
        <v>1027.687685892832</v>
      </c>
      <c r="AO94" s="9">
        <v>4515.8301310998932</v>
      </c>
      <c r="AP94" s="9">
        <v>962.32285573787362</v>
      </c>
      <c r="AQ94" s="11">
        <v>6.6954589514257128</v>
      </c>
      <c r="AR94" s="9">
        <v>4035.374774339311</v>
      </c>
      <c r="AS94" s="9">
        <v>93.668475055751671</v>
      </c>
      <c r="AT94" s="9">
        <v>1588.0640682450983</v>
      </c>
      <c r="AU94" s="9">
        <v>199.60079840319361</v>
      </c>
      <c r="AV94" s="9">
        <f t="shared" si="3"/>
        <v>127186.96824675158</v>
      </c>
    </row>
    <row r="95" spans="1:48" x14ac:dyDescent="0.3">
      <c r="A95" s="3">
        <f t="shared" si="4"/>
        <v>1891</v>
      </c>
      <c r="B95" s="9">
        <v>4525.4120686222732</v>
      </c>
      <c r="C95" s="9">
        <v>3365.8411847587777</v>
      </c>
      <c r="D95" s="9">
        <v>201.8516072619434</v>
      </c>
      <c r="E95" s="9">
        <v>144.08637785017049</v>
      </c>
      <c r="F95" s="9">
        <v>9898.4704307727625</v>
      </c>
      <c r="G95" s="9">
        <v>8050.1102910041081</v>
      </c>
      <c r="H95" s="9">
        <v>129</v>
      </c>
      <c r="I95" s="9">
        <v>3326.6484127718445</v>
      </c>
      <c r="J95" s="9">
        <v>19.804330884058167</v>
      </c>
      <c r="K95" s="9">
        <v>91.278642931456673</v>
      </c>
      <c r="L95" s="9">
        <v>8910</v>
      </c>
      <c r="M95" s="9">
        <v>184.39287897589685</v>
      </c>
      <c r="N95" s="9">
        <v>503.92924180194376</v>
      </c>
      <c r="O95" s="9">
        <v>11081.1793514541</v>
      </c>
      <c r="P95" s="9">
        <v>4095.3599744011331</v>
      </c>
      <c r="Q95" s="9">
        <v>41.574752298879815</v>
      </c>
      <c r="R95" s="9">
        <v>11760.08942788499</v>
      </c>
      <c r="S95" s="9">
        <v>158.74762977329391</v>
      </c>
      <c r="T95" s="9">
        <v>5352.2019276501251</v>
      </c>
      <c r="U95" s="9">
        <v>179.15252676672762</v>
      </c>
      <c r="V95" s="9">
        <v>703.90945364966603</v>
      </c>
      <c r="W95" s="9">
        <v>2507.3481141487132</v>
      </c>
      <c r="X95" s="9">
        <v>281.34779657675165</v>
      </c>
      <c r="Y95" s="9">
        <v>759.6615633298228</v>
      </c>
      <c r="Z95" s="9">
        <v>813.51039822765051</v>
      </c>
      <c r="AA95" s="9">
        <v>475.56698429248371</v>
      </c>
      <c r="AB95" s="9">
        <v>2807.4013915134278</v>
      </c>
      <c r="AC95" s="9">
        <v>2164.2342975527749</v>
      </c>
      <c r="AD95" s="9">
        <v>371.1</v>
      </c>
      <c r="AE95" s="9">
        <v>4340.1687419868131</v>
      </c>
      <c r="AF95" s="9">
        <v>4335.5291500029989</v>
      </c>
      <c r="AG95" s="9">
        <v>18199.01253162041</v>
      </c>
      <c r="AH95" s="9">
        <v>1624.3038394215691</v>
      </c>
      <c r="AI95" s="9">
        <v>177</v>
      </c>
      <c r="AJ95" s="9">
        <v>3280.41933510012</v>
      </c>
      <c r="AK95" s="9">
        <v>3.9</v>
      </c>
      <c r="AL95" s="9">
        <v>54.345764516028254</v>
      </c>
      <c r="AM95" s="9">
        <v>16.399999999999999</v>
      </c>
      <c r="AN95" s="9">
        <v>1034.8814996940814</v>
      </c>
      <c r="AO95" s="9">
        <v>4561.4445768685791</v>
      </c>
      <c r="AP95" s="9">
        <v>972.04328862411478</v>
      </c>
      <c r="AQ95" s="11">
        <v>6.7607366177562582</v>
      </c>
      <c r="AR95" s="9">
        <v>4031.3393995649712</v>
      </c>
      <c r="AS95" s="9">
        <v>94.614621268436025</v>
      </c>
      <c r="AT95" s="9">
        <v>1600.7685807910591</v>
      </c>
      <c r="AU95" s="9">
        <v>200</v>
      </c>
      <c r="AV95" s="9">
        <f t="shared" si="3"/>
        <v>127436.1431232327</v>
      </c>
    </row>
    <row r="96" spans="1:48" x14ac:dyDescent="0.3">
      <c r="A96" s="3">
        <f t="shared" si="4"/>
        <v>1892</v>
      </c>
      <c r="B96" s="9">
        <v>4560.8553072005743</v>
      </c>
      <c r="C96" s="9">
        <v>3349.0918835942953</v>
      </c>
      <c r="D96" s="9">
        <v>203.8905123858014</v>
      </c>
      <c r="E96" s="9">
        <v>145.54179580825306</v>
      </c>
      <c r="F96" s="9">
        <v>9847.5349451362436</v>
      </c>
      <c r="G96" s="9">
        <v>8025.6437878522611</v>
      </c>
      <c r="H96" s="9">
        <v>130.96961868897529</v>
      </c>
      <c r="I96" s="9">
        <v>3313.7215552007533</v>
      </c>
      <c r="J96" s="9">
        <v>20.249730194570098</v>
      </c>
      <c r="K96" s="9">
        <v>91.461200217319586</v>
      </c>
      <c r="L96" s="9">
        <v>9045</v>
      </c>
      <c r="M96" s="9">
        <v>183.47091458101741</v>
      </c>
      <c r="N96" s="9">
        <v>507.45674649455714</v>
      </c>
      <c r="O96" s="9">
        <v>11092.260530805548</v>
      </c>
      <c r="P96" s="9">
        <v>4069.5310328070946</v>
      </c>
      <c r="Q96" s="9">
        <v>41.699476555776464</v>
      </c>
      <c r="R96" s="9">
        <v>11823.778846525722</v>
      </c>
      <c r="S96" s="9">
        <v>159.85886318170694</v>
      </c>
      <c r="T96" s="9">
        <v>5309.3843122289254</v>
      </c>
      <c r="U96" s="9">
        <v>180.96214824921987</v>
      </c>
      <c r="V96" s="9">
        <v>708.83681982521341</v>
      </c>
      <c r="W96" s="9">
        <v>2529.4282217232944</v>
      </c>
      <c r="X96" s="9">
        <v>283.31723115278879</v>
      </c>
      <c r="Y96" s="9">
        <v>760.4212248931525</v>
      </c>
      <c r="Z96" s="9">
        <v>815.9509294223335</v>
      </c>
      <c r="AA96" s="9">
        <v>478.89595318253117</v>
      </c>
      <c r="AB96" s="9">
        <v>2787.7495817728336</v>
      </c>
      <c r="AC96" s="9">
        <v>2155.5773603625635</v>
      </c>
      <c r="AD96" s="9">
        <v>373.3</v>
      </c>
      <c r="AE96" s="9">
        <v>4383.5704294066809</v>
      </c>
      <c r="AF96" s="9">
        <v>4318.1870334029882</v>
      </c>
      <c r="AG96" s="9">
        <v>18300.6675151167</v>
      </c>
      <c r="AH96" s="9">
        <v>1622.6795355821473</v>
      </c>
      <c r="AI96" s="9">
        <v>177</v>
      </c>
      <c r="AJ96" s="9">
        <v>3262.4059831317231</v>
      </c>
      <c r="AK96" s="9">
        <v>3.8348489069813652</v>
      </c>
      <c r="AL96" s="9">
        <v>54.400110280544276</v>
      </c>
      <c r="AM96" s="9">
        <v>16.658511468493874</v>
      </c>
      <c r="AN96" s="9">
        <v>1042.1256701919397</v>
      </c>
      <c r="AO96" s="9">
        <v>4607.519774614726</v>
      </c>
      <c r="AP96" s="9">
        <v>981.86190770112614</v>
      </c>
      <c r="AQ96" s="11">
        <v>6.8266507115150779</v>
      </c>
      <c r="AR96" s="9">
        <v>4027.3080601654055</v>
      </c>
      <c r="AS96" s="9">
        <v>95.570324513571734</v>
      </c>
      <c r="AT96" s="9">
        <v>1613.5747294373875</v>
      </c>
      <c r="AU96" s="9">
        <v>199.85901075620498</v>
      </c>
      <c r="AV96" s="9">
        <f t="shared" si="3"/>
        <v>127709.89062543148</v>
      </c>
    </row>
    <row r="97" spans="1:48" x14ac:dyDescent="0.3">
      <c r="A97" s="3">
        <f t="shared" si="4"/>
        <v>1893</v>
      </c>
      <c r="B97" s="9">
        <v>4596.0207098091623</v>
      </c>
      <c r="C97" s="9">
        <v>3332.4259313087709</v>
      </c>
      <c r="D97" s="9">
        <v>205.95001251091048</v>
      </c>
      <c r="E97" s="9">
        <v>147.01191495783144</v>
      </c>
      <c r="F97" s="9">
        <v>9796.8615629949236</v>
      </c>
      <c r="G97" s="9">
        <v>8001.2838331678704</v>
      </c>
      <c r="H97" s="9">
        <v>132.96931022895802</v>
      </c>
      <c r="I97" s="9">
        <v>3300.8449294624052</v>
      </c>
      <c r="J97" s="9">
        <v>20.722680242936093</v>
      </c>
      <c r="K97" s="9">
        <v>91.644122617754221</v>
      </c>
      <c r="L97" s="9">
        <v>9182</v>
      </c>
      <c r="M97" s="9">
        <v>182.55356000811236</v>
      </c>
      <c r="N97" s="9">
        <v>511.00894372001892</v>
      </c>
      <c r="O97" s="9">
        <v>11103.352791336352</v>
      </c>
      <c r="P97" s="9">
        <v>4043.8758578290676</v>
      </c>
      <c r="Q97" s="9">
        <v>41.824574985443796</v>
      </c>
      <c r="R97" s="9">
        <v>11887.82495597444</v>
      </c>
      <c r="S97" s="9">
        <v>160.97787522397888</v>
      </c>
      <c r="T97" s="9">
        <v>5266.9092377310944</v>
      </c>
      <c r="U97" s="9">
        <v>182.79004873658579</v>
      </c>
      <c r="V97" s="9">
        <v>713.7986775639896</v>
      </c>
      <c r="W97" s="9">
        <v>2551.7027702483592</v>
      </c>
      <c r="X97" s="9">
        <v>285.30045177085822</v>
      </c>
      <c r="Y97" s="9">
        <v>761.18164611804559</v>
      </c>
      <c r="Z97" s="9">
        <v>818.3987822106003</v>
      </c>
      <c r="AA97" s="9">
        <v>482.24822485480888</v>
      </c>
      <c r="AB97" s="9">
        <v>2768.2353347004237</v>
      </c>
      <c r="AC97" s="9">
        <v>2146.9550509211126</v>
      </c>
      <c r="AD97" s="9">
        <v>370.2</v>
      </c>
      <c r="AE97" s="9">
        <v>4427.4061337007479</v>
      </c>
      <c r="AF97" s="9">
        <v>4300.9142852693758</v>
      </c>
      <c r="AG97" s="9">
        <v>18402.890317094992</v>
      </c>
      <c r="AH97" s="9">
        <v>1621.0568560465649</v>
      </c>
      <c r="AI97" s="9">
        <v>177</v>
      </c>
      <c r="AJ97" s="9">
        <v>3244.4923654549257</v>
      </c>
      <c r="AK97" s="9">
        <v>3.7707861895836334</v>
      </c>
      <c r="AL97" s="9">
        <v>54.454510390824815</v>
      </c>
      <c r="AM97" s="9">
        <v>16.921097825972069</v>
      </c>
      <c r="AN97" s="9">
        <v>1049.420549883283</v>
      </c>
      <c r="AO97" s="9">
        <v>4654.0603783987153</v>
      </c>
      <c r="AP97" s="9">
        <v>991.77970474861252</v>
      </c>
      <c r="AQ97" s="11">
        <v>6.8932074375788801</v>
      </c>
      <c r="AR97" s="9">
        <v>4023.28075210524</v>
      </c>
      <c r="AS97" s="9">
        <v>96.53568132684012</v>
      </c>
      <c r="AT97" s="9">
        <v>1626.4833272728868</v>
      </c>
      <c r="AU97" s="9">
        <v>199.71812090224429</v>
      </c>
      <c r="AV97" s="9">
        <f t="shared" si="3"/>
        <v>127983.95186528319</v>
      </c>
    </row>
    <row r="98" spans="1:48" x14ac:dyDescent="0.3">
      <c r="A98" s="3">
        <f t="shared" si="4"/>
        <v>1894</v>
      </c>
      <c r="B98" s="9">
        <v>4630.654618092085</v>
      </c>
      <c r="C98" s="9">
        <v>3315.8429131365042</v>
      </c>
      <c r="D98" s="9">
        <v>208.03031566758631</v>
      </c>
      <c r="E98" s="9">
        <v>148.49688379578936</v>
      </c>
      <c r="F98" s="9">
        <v>9746.4489356183185</v>
      </c>
      <c r="G98" s="9">
        <v>7977.0299099926451</v>
      </c>
      <c r="H98" s="9">
        <v>133</v>
      </c>
      <c r="I98" s="9">
        <v>3288.0183403634196</v>
      </c>
      <c r="J98" s="9">
        <v>21.224916883562486</v>
      </c>
      <c r="K98" s="9">
        <v>91.827410862989723</v>
      </c>
      <c r="L98" s="9">
        <v>9321</v>
      </c>
      <c r="M98" s="9">
        <v>181.64079220807184</v>
      </c>
      <c r="N98" s="9">
        <v>514.58600632605885</v>
      </c>
      <c r="O98" s="9">
        <v>11114.456144127684</v>
      </c>
      <c r="P98" s="9">
        <v>4018.3932154785684</v>
      </c>
      <c r="Q98" s="9">
        <v>41.950048710400132</v>
      </c>
      <c r="R98" s="9">
        <v>11952.229823474841</v>
      </c>
      <c r="S98" s="9">
        <v>162.10472035054673</v>
      </c>
      <c r="T98" s="9">
        <v>5224.7739638292469</v>
      </c>
      <c r="U98" s="9">
        <v>184.63641286523824</v>
      </c>
      <c r="V98" s="9">
        <v>718.79526830693726</v>
      </c>
      <c r="W98" s="9">
        <v>2574.1734720019404</v>
      </c>
      <c r="X98" s="9">
        <v>287.2975549332541</v>
      </c>
      <c r="Y98" s="9">
        <v>761.94282776416355</v>
      </c>
      <c r="Z98" s="9">
        <v>820.85397855723215</v>
      </c>
      <c r="AA98" s="9">
        <v>485.62396242879265</v>
      </c>
      <c r="AB98" s="9">
        <v>2748.8576873575207</v>
      </c>
      <c r="AC98" s="9">
        <v>2138.3672307174274</v>
      </c>
      <c r="AD98" s="9">
        <v>369</v>
      </c>
      <c r="AE98" s="9">
        <v>4471.6801950377558</v>
      </c>
      <c r="AF98" s="9">
        <v>4283.7106281282977</v>
      </c>
      <c r="AG98" s="9">
        <v>18505.684109242666</v>
      </c>
      <c r="AH98" s="9">
        <v>1619.4357991905183</v>
      </c>
      <c r="AI98" s="9">
        <v>177</v>
      </c>
      <c r="AJ98" s="9">
        <v>3226.6779253930799</v>
      </c>
      <c r="AK98" s="9">
        <v>3.7077936660474933</v>
      </c>
      <c r="AL98" s="9">
        <v>54.508964901215634</v>
      </c>
      <c r="AM98" s="9">
        <v>17.187823304479419</v>
      </c>
      <c r="AN98" s="9">
        <v>1056.7664937324655</v>
      </c>
      <c r="AO98" s="9">
        <v>4701.0710892916304</v>
      </c>
      <c r="AP98" s="9">
        <v>1001.7976815642551</v>
      </c>
      <c r="AQ98" s="11">
        <v>6.9604130613190867</v>
      </c>
      <c r="AR98" s="9">
        <v>4019.257471353134</v>
      </c>
      <c r="AS98" s="9">
        <v>97.510789219030414</v>
      </c>
      <c r="AT98" s="9">
        <v>1639.4951938910699</v>
      </c>
      <c r="AU98" s="9">
        <v>199.57733036805345</v>
      </c>
      <c r="AV98" s="9">
        <f t="shared" si="3"/>
        <v>128263.28705519579</v>
      </c>
    </row>
    <row r="99" spans="1:48" x14ac:dyDescent="0.3">
      <c r="A99" s="3">
        <f t="shared" si="4"/>
        <v>1895</v>
      </c>
      <c r="B99" s="9">
        <v>4663.8984257462998</v>
      </c>
      <c r="C99" s="9">
        <v>3299.3424163757763</v>
      </c>
      <c r="D99" s="9">
        <v>210.13163198746088</v>
      </c>
      <c r="E99" s="9">
        <v>149.99685231897922</v>
      </c>
      <c r="F99" s="9">
        <v>9696.2957212162328</v>
      </c>
      <c r="G99" s="9">
        <v>7952.8815039373076</v>
      </c>
      <c r="H99" s="9">
        <v>139</v>
      </c>
      <c r="I99" s="9">
        <v>3275.2415934689088</v>
      </c>
      <c r="J99" s="9">
        <v>21.758285360429738</v>
      </c>
      <c r="K99" s="9">
        <v>92.011065684715703</v>
      </c>
      <c r="L99" s="9">
        <v>9462</v>
      </c>
      <c r="M99" s="9">
        <v>180.73258824703154</v>
      </c>
      <c r="N99" s="9">
        <v>518.18810837034118</v>
      </c>
      <c r="O99" s="9">
        <v>11125.570600271805</v>
      </c>
      <c r="P99" s="9">
        <v>3993.0818808953741</v>
      </c>
      <c r="Q99" s="9">
        <v>42.075898856531325</v>
      </c>
      <c r="R99" s="9">
        <v>12016.99552865771</v>
      </c>
      <c r="S99" s="9">
        <v>163.23945339300053</v>
      </c>
      <c r="T99" s="9">
        <v>5182.9757721186143</v>
      </c>
      <c r="U99" s="9">
        <v>186.50142713660435</v>
      </c>
      <c r="V99" s="9">
        <v>723.82683518508577</v>
      </c>
      <c r="W99" s="9">
        <v>2596.8420543406701</v>
      </c>
      <c r="X99" s="9">
        <v>289.30863781778686</v>
      </c>
      <c r="Y99" s="9">
        <v>762.70477059192763</v>
      </c>
      <c r="Z99" s="9">
        <v>823.31654049290353</v>
      </c>
      <c r="AA99" s="9">
        <v>489.02333016579416</v>
      </c>
      <c r="AB99" s="9">
        <v>2729.6156835460179</v>
      </c>
      <c r="AC99" s="9">
        <v>2129.8137617945572</v>
      </c>
      <c r="AD99" s="9">
        <v>372</v>
      </c>
      <c r="AE99" s="9">
        <v>4516.3969969881337</v>
      </c>
      <c r="AF99" s="9">
        <v>4266.5757856157852</v>
      </c>
      <c r="AG99" s="9">
        <v>18609.052080963331</v>
      </c>
      <c r="AH99" s="9">
        <v>1617.8163633913277</v>
      </c>
      <c r="AI99" s="9">
        <v>177</v>
      </c>
      <c r="AJ99" s="9">
        <v>3208.9621094009499</v>
      </c>
      <c r="AK99" s="9">
        <v>3.6458534583473483</v>
      </c>
      <c r="AL99" s="9">
        <v>54.563473866116844</v>
      </c>
      <c r="AM99" s="9">
        <v>17.458753148543703</v>
      </c>
      <c r="AN99" s="9">
        <v>1064.1638591885926</v>
      </c>
      <c r="AO99" s="9">
        <v>4748.5566558501314</v>
      </c>
      <c r="AP99" s="9">
        <v>1011.9168500649041</v>
      </c>
      <c r="AQ99" s="11">
        <v>7.0282739091916318</v>
      </c>
      <c r="AR99" s="9">
        <v>4015.2382138817811</v>
      </c>
      <c r="AS99" s="9">
        <v>98.495746685889287</v>
      </c>
      <c r="AT99" s="9">
        <v>1652.6111554421984</v>
      </c>
      <c r="AU99" s="9">
        <v>199.43663908361734</v>
      </c>
      <c r="AV99" s="9">
        <f t="shared" si="3"/>
        <v>128557.28917891672</v>
      </c>
    </row>
    <row r="100" spans="1:48" x14ac:dyDescent="0.3">
      <c r="A100" s="3">
        <f t="shared" si="4"/>
        <v>1896</v>
      </c>
      <c r="B100" s="9">
        <v>4753.9262985760197</v>
      </c>
      <c r="C100" s="9">
        <v>3282.9240303785809</v>
      </c>
      <c r="D100" s="9">
        <v>212.25417372470795</v>
      </c>
      <c r="E100" s="9">
        <v>151.51197203937298</v>
      </c>
      <c r="F100" s="9">
        <v>9646.4005849030491</v>
      </c>
      <c r="G100" s="9">
        <v>7928.8381031687495</v>
      </c>
      <c r="H100" s="9">
        <v>140</v>
      </c>
      <c r="I100" s="9">
        <v>3262.51449509953</v>
      </c>
      <c r="J100" s="9">
        <v>22.324747200586565</v>
      </c>
      <c r="K100" s="9">
        <v>92.195087816085135</v>
      </c>
      <c r="L100" s="9">
        <v>9589</v>
      </c>
      <c r="M100" s="9">
        <v>179.82892530579645</v>
      </c>
      <c r="N100" s="9">
        <v>521.81542512893327</v>
      </c>
      <c r="O100" s="9">
        <v>11136.696170872074</v>
      </c>
      <c r="P100" s="9">
        <v>3967.9406382780485</v>
      </c>
      <c r="Q100" s="9">
        <v>42.202126553100925</v>
      </c>
      <c r="R100" s="9">
        <v>12082.12416361746</v>
      </c>
      <c r="S100" s="9">
        <v>164.38212956675147</v>
      </c>
      <c r="T100" s="9">
        <v>5141.5119659416659</v>
      </c>
      <c r="U100" s="9">
        <v>188.38527993596404</v>
      </c>
      <c r="V100" s="9">
        <v>728.89362303138103</v>
      </c>
      <c r="W100" s="9">
        <v>2619.7102598325537</v>
      </c>
      <c r="X100" s="9">
        <v>291.33379828251117</v>
      </c>
      <c r="Y100" s="9">
        <v>763.46747536251951</v>
      </c>
      <c r="Z100" s="9">
        <v>825.78649011438222</v>
      </c>
      <c r="AA100" s="9">
        <v>492.44649347695486</v>
      </c>
      <c r="AB100" s="9">
        <v>2710.5083737611958</v>
      </c>
      <c r="AC100" s="9">
        <v>2121.2945067473784</v>
      </c>
      <c r="AD100" s="9">
        <v>370</v>
      </c>
      <c r="AE100" s="9">
        <v>4561.5609669580153</v>
      </c>
      <c r="AF100" s="9">
        <v>4249.5094824733224</v>
      </c>
      <c r="AG100" s="9">
        <v>18712.997439475788</v>
      </c>
      <c r="AH100" s="9">
        <v>1616.198547027936</v>
      </c>
      <c r="AI100" s="9">
        <v>177</v>
      </c>
      <c r="AJ100" s="9">
        <v>3191.3443670469715</v>
      </c>
      <c r="AK100" s="9">
        <v>3.5849479871173227</v>
      </c>
      <c r="AL100" s="9">
        <v>54.618037339982955</v>
      </c>
      <c r="AM100" s="9">
        <v>17.733953631135297</v>
      </c>
      <c r="AN100" s="9">
        <v>1071.6130062029122</v>
      </c>
      <c r="AO100" s="9">
        <v>4796.5218745960947</v>
      </c>
      <c r="AP100" s="9">
        <v>1022.1382323887923</v>
      </c>
      <c r="AQ100" s="11">
        <v>7.0967963693325018</v>
      </c>
      <c r="AR100" s="9">
        <v>4011.2229756678985</v>
      </c>
      <c r="AS100" s="9">
        <v>99.490653218069966</v>
      </c>
      <c r="AT100" s="9">
        <v>1665.832044685736</v>
      </c>
      <c r="AU100" s="9">
        <v>199.29604697897025</v>
      </c>
      <c r="AV100" s="9">
        <f t="shared" ref="AV100:AV131" si="5">SUM(B100:AU100)</f>
        <v>128887.97671076341</v>
      </c>
    </row>
    <row r="101" spans="1:48" x14ac:dyDescent="0.3">
      <c r="A101" s="3">
        <f t="shared" si="4"/>
        <v>1897</v>
      </c>
      <c r="B101" s="9">
        <v>4788.75758537602</v>
      </c>
      <c r="C101" s="9">
        <v>3266.5873465404015</v>
      </c>
      <c r="D101" s="9">
        <v>214.39815527748277</v>
      </c>
      <c r="E101" s="9">
        <v>153.0423959993667</v>
      </c>
      <c r="F101" s="9">
        <v>9596.7621986621871</v>
      </c>
      <c r="G101" s="9">
        <v>7904.8991983972846</v>
      </c>
      <c r="H101" s="9">
        <v>141</v>
      </c>
      <c r="I101" s="9">
        <v>3249.8368523285494</v>
      </c>
      <c r="J101" s="9">
        <v>23.119</v>
      </c>
      <c r="K101" s="9">
        <v>92.379477991717309</v>
      </c>
      <c r="L101" s="9">
        <v>9734</v>
      </c>
      <c r="M101" s="9">
        <v>178.92978067926748</v>
      </c>
      <c r="N101" s="9">
        <v>525.4681331048356</v>
      </c>
      <c r="O101" s="9">
        <v>11147.832867042944</v>
      </c>
      <c r="P101" s="9">
        <v>3942.9682808150055</v>
      </c>
      <c r="Q101" s="9">
        <v>42.328732932760232</v>
      </c>
      <c r="R101" s="9">
        <v>12147.617832989161</v>
      </c>
      <c r="S101" s="9">
        <v>165.53280447371876</v>
      </c>
      <c r="T101" s="9">
        <v>5100.3798702141339</v>
      </c>
      <c r="U101" s="9">
        <v>190.28816155147891</v>
      </c>
      <c r="V101" s="9">
        <v>733.9958783926005</v>
      </c>
      <c r="W101" s="9">
        <v>2642.7798463909307</v>
      </c>
      <c r="X101" s="9">
        <v>293.37313487048868</v>
      </c>
      <c r="Y101" s="9">
        <v>764.23094283788191</v>
      </c>
      <c r="Z101" s="9">
        <v>828.26384958472534</v>
      </c>
      <c r="AA101" s="9">
        <v>495.89361893129353</v>
      </c>
      <c r="AB101" s="9">
        <v>2691.534815144867</v>
      </c>
      <c r="AC101" s="9">
        <v>2112.8093287203887</v>
      </c>
      <c r="AD101" s="9">
        <v>368.4</v>
      </c>
      <c r="AE101" s="9">
        <v>4607.1765766275958</v>
      </c>
      <c r="AF101" s="9">
        <v>4232.5114445434283</v>
      </c>
      <c r="AG101" s="9">
        <v>18817.52340991352</v>
      </c>
      <c r="AH101" s="9">
        <v>1614.582348480908</v>
      </c>
      <c r="AI101" s="9">
        <v>177</v>
      </c>
      <c r="AJ101" s="9">
        <v>3173.824150995606</v>
      </c>
      <c r="AK101" s="9">
        <v>3.5250599666620284</v>
      </c>
      <c r="AL101" s="9">
        <v>54.672655377322933</v>
      </c>
      <c r="AM101" s="9">
        <v>18.01349206987841</v>
      </c>
      <c r="AN101" s="9">
        <v>1079.1142972463319</v>
      </c>
      <c r="AO101" s="9">
        <v>4844.9715905011053</v>
      </c>
      <c r="AP101" s="9">
        <v>1032.4628609987801</v>
      </c>
      <c r="AQ101" s="11">
        <v>7.1659868921590935</v>
      </c>
      <c r="AR101" s="9">
        <v>4007.2117526922307</v>
      </c>
      <c r="AS101" s="9">
        <v>100.49560931118179</v>
      </c>
      <c r="AT101" s="9">
        <v>1679.158701043222</v>
      </c>
      <c r="AU101" s="9">
        <v>199.15555398419573</v>
      </c>
      <c r="AV101" s="9">
        <f t="shared" si="5"/>
        <v>129185.97557989364</v>
      </c>
    </row>
    <row r="102" spans="1:48" x14ac:dyDescent="0.3">
      <c r="A102" s="3">
        <f t="shared" si="4"/>
        <v>1898</v>
      </c>
      <c r="B102" s="9">
        <v>4837.870907878968</v>
      </c>
      <c r="C102" s="9">
        <v>3250.3319582900463</v>
      </c>
      <c r="D102" s="9">
        <v>216.56379320957853</v>
      </c>
      <c r="E102" s="9">
        <v>154.58827878723915</v>
      </c>
      <c r="F102" s="9">
        <v>9547.3792413107785</v>
      </c>
      <c r="G102" s="9">
        <v>7881.064282863932</v>
      </c>
      <c r="H102" s="9">
        <v>143</v>
      </c>
      <c r="I102" s="9">
        <v>3237.2084729789181</v>
      </c>
      <c r="J102" s="9">
        <v>23.410455118240556</v>
      </c>
      <c r="K102" s="9">
        <v>92.564236947700749</v>
      </c>
      <c r="L102" s="9">
        <v>9883</v>
      </c>
      <c r="M102" s="9">
        <v>178.03513177587118</v>
      </c>
      <c r="N102" s="9">
        <v>529.14641003656936</v>
      </c>
      <c r="O102" s="9">
        <v>11158.980699909986</v>
      </c>
      <c r="P102" s="9">
        <v>3918.163610616105</v>
      </c>
      <c r="Q102" s="9">
        <v>42.455719131558524</v>
      </c>
      <c r="R102" s="9">
        <v>12213.478654026081</v>
      </c>
      <c r="S102" s="9">
        <v>166.69153410503478</v>
      </c>
      <c r="T102" s="9">
        <v>5059.5768312524224</v>
      </c>
      <c r="U102" s="9">
        <v>192.21026419341305</v>
      </c>
      <c r="V102" s="9">
        <v>739.13384954134835</v>
      </c>
      <c r="W102" s="9">
        <v>2666.0525874096065</v>
      </c>
      <c r="X102" s="9">
        <v>295.42674681458197</v>
      </c>
      <c r="Y102" s="9">
        <v>764.99517378071971</v>
      </c>
      <c r="Z102" s="9">
        <v>830.74864113347928</v>
      </c>
      <c r="AA102" s="9">
        <v>499.36487426381262</v>
      </c>
      <c r="AB102" s="9">
        <v>2672.6940714388534</v>
      </c>
      <c r="AC102" s="9">
        <v>2104.3580914055069</v>
      </c>
      <c r="AD102" s="9">
        <v>369.1</v>
      </c>
      <c r="AE102" s="9">
        <v>4653.248342393872</v>
      </c>
      <c r="AF102" s="9">
        <v>4215.5813987652546</v>
      </c>
      <c r="AG102" s="9">
        <v>18922.633235424779</v>
      </c>
      <c r="AH102" s="9">
        <v>1612.967766132427</v>
      </c>
      <c r="AI102" s="9">
        <v>177</v>
      </c>
      <c r="AJ102" s="9">
        <v>3156.4009169897927</v>
      </c>
      <c r="AK102" s="9">
        <v>3.4661724000506786</v>
      </c>
      <c r="AL102" s="9">
        <v>54.72732803270025</v>
      </c>
      <c r="AM102" s="9">
        <v>18.297436843517865</v>
      </c>
      <c r="AN102" s="9">
        <v>1086.6680973270561</v>
      </c>
      <c r="AO102" s="9">
        <v>4893.9106974758643</v>
      </c>
      <c r="AP102" s="9">
        <v>1042.8917787866465</v>
      </c>
      <c r="AQ102" s="11">
        <v>7.235851990977423</v>
      </c>
      <c r="AR102" s="9">
        <v>4003.2045409395378</v>
      </c>
      <c r="AS102" s="9">
        <v>101.51071647594118</v>
      </c>
      <c r="AT102" s="9">
        <v>1692.5919706515679</v>
      </c>
      <c r="AU102" s="9">
        <v>199.01516002942668</v>
      </c>
      <c r="AV102" s="9">
        <f t="shared" si="5"/>
        <v>129508.94592887975</v>
      </c>
    </row>
    <row r="103" spans="1:48" x14ac:dyDescent="0.3">
      <c r="A103" s="3">
        <f t="shared" si="4"/>
        <v>1899</v>
      </c>
      <c r="B103" s="9">
        <v>4864.0689507098841</v>
      </c>
      <c r="C103" s="9">
        <v>3234.1574610795242</v>
      </c>
      <c r="D103" s="9">
        <v>218.75130627230149</v>
      </c>
      <c r="E103" s="9">
        <v>156.14977655276687</v>
      </c>
      <c r="F103" s="9">
        <v>9498.2503984644791</v>
      </c>
      <c r="G103" s="9">
        <v>7857.3328523277887</v>
      </c>
      <c r="H103" s="9">
        <v>145</v>
      </c>
      <c r="I103" s="9">
        <v>3224.6291656203566</v>
      </c>
      <c r="J103" s="9">
        <v>23.708779130149392</v>
      </c>
      <c r="K103" s="9">
        <v>92.749365421596153</v>
      </c>
      <c r="L103" s="9">
        <v>10033</v>
      </c>
      <c r="M103" s="9">
        <v>177.14495611699186</v>
      </c>
      <c r="N103" s="9">
        <v>532.85043490682506</v>
      </c>
      <c r="O103" s="9">
        <v>11170.139680609889</v>
      </c>
      <c r="P103" s="9">
        <v>3893.5254386447809</v>
      </c>
      <c r="Q103" s="9">
        <v>42.58308628895319</v>
      </c>
      <c r="R103" s="9">
        <v>12279.708756677683</v>
      </c>
      <c r="S103" s="9">
        <v>167.85837484377001</v>
      </c>
      <c r="T103" s="9">
        <v>5019.1002166024036</v>
      </c>
      <c r="U103" s="9">
        <v>194.15178201354863</v>
      </c>
      <c r="V103" s="9">
        <v>744.30778648813759</v>
      </c>
      <c r="W103" s="9">
        <v>2689.5302718991743</v>
      </c>
      <c r="X103" s="9">
        <v>297.49473404228394</v>
      </c>
      <c r="Y103" s="9">
        <v>765.76016895450039</v>
      </c>
      <c r="Z103" s="9">
        <v>833.24088705687961</v>
      </c>
      <c r="AA103" s="9">
        <v>502.86042838365933</v>
      </c>
      <c r="AB103" s="9">
        <v>2653.9852129387814</v>
      </c>
      <c r="AC103" s="9">
        <v>2095.9406590398839</v>
      </c>
      <c r="AD103" s="9">
        <v>368.8</v>
      </c>
      <c r="AE103" s="9">
        <v>4699.7808258178111</v>
      </c>
      <c r="AF103" s="9">
        <v>4198.719073170194</v>
      </c>
      <c r="AG103" s="9">
        <v>19028.330177273205</v>
      </c>
      <c r="AH103" s="9">
        <v>1611.3547983662945</v>
      </c>
      <c r="AI103" s="9">
        <v>177</v>
      </c>
      <c r="AJ103" s="9">
        <v>3139.074123833514</v>
      </c>
      <c r="AK103" s="9">
        <v>3.4082685742931589</v>
      </c>
      <c r="AL103" s="9">
        <v>54.782055360732947</v>
      </c>
      <c r="AM103" s="9">
        <v>18.58585740864541</v>
      </c>
      <c r="AN103" s="9">
        <v>1094.274774008345</v>
      </c>
      <c r="AO103" s="9">
        <v>4943.3441388645097</v>
      </c>
      <c r="AP103" s="9">
        <v>1053.426039178431</v>
      </c>
      <c r="AQ103" s="11">
        <v>7.3063982425952707</v>
      </c>
      <c r="AR103" s="9">
        <v>3999.201336398598</v>
      </c>
      <c r="AS103" s="9">
        <v>102.53607724842543</v>
      </c>
      <c r="AT103" s="9">
        <v>1706.1327064167804</v>
      </c>
      <c r="AU103" s="9">
        <v>198.87486504484522</v>
      </c>
      <c r="AV103" s="9">
        <f t="shared" si="5"/>
        <v>129812.91244629424</v>
      </c>
    </row>
    <row r="104" spans="1:48" x14ac:dyDescent="0.3">
      <c r="A104" s="3">
        <f t="shared" si="4"/>
        <v>1900</v>
      </c>
      <c r="B104" s="9">
        <v>4901.0995566655711</v>
      </c>
      <c r="C104" s="9">
        <v>3218.0634523739818</v>
      </c>
      <c r="D104" s="9">
        <v>220.96091542656708</v>
      </c>
      <c r="E104" s="9">
        <v>157.72704702299683</v>
      </c>
      <c r="F104" s="9">
        <v>9449.3743625025163</v>
      </c>
      <c r="G104" s="9">
        <v>7833.7044050534478</v>
      </c>
      <c r="H104" s="9">
        <v>147</v>
      </c>
      <c r="I104" s="9">
        <v>3212.0987395664588</v>
      </c>
      <c r="J104" s="9">
        <v>24.024999999999999</v>
      </c>
      <c r="K104" s="9">
        <v>92.934864152439346</v>
      </c>
      <c r="L104" s="9">
        <v>10186</v>
      </c>
      <c r="M104" s="9">
        <v>176.25923133640734</v>
      </c>
      <c r="N104" s="9">
        <v>536.58038795117216</v>
      </c>
      <c r="O104" s="9">
        <v>11181.309820290495</v>
      </c>
      <c r="P104" s="9">
        <v>3869.0525846507007</v>
      </c>
      <c r="Q104" s="9">
        <v>42.710835547820032</v>
      </c>
      <c r="R104" s="9">
        <v>12346.310283668157</v>
      </c>
      <c r="S104" s="9">
        <v>169.03338346767637</v>
      </c>
      <c r="T104" s="9">
        <v>4978.9474148695899</v>
      </c>
      <c r="U104" s="9">
        <v>196.11291112479657</v>
      </c>
      <c r="V104" s="9">
        <v>749.51794099355516</v>
      </c>
      <c r="W104" s="9">
        <v>2713.21470462454</v>
      </c>
      <c r="X104" s="9">
        <v>299.57719718058024</v>
      </c>
      <c r="Y104" s="9">
        <v>766.52592912345483</v>
      </c>
      <c r="Z104" s="9">
        <v>835.74060971805011</v>
      </c>
      <c r="AA104" s="9">
        <v>506.38045138234469</v>
      </c>
      <c r="AB104" s="9">
        <v>2635.4073164482088</v>
      </c>
      <c r="AC104" s="9">
        <v>2087.5568964037234</v>
      </c>
      <c r="AD104" s="9">
        <v>369.5</v>
      </c>
      <c r="AE104" s="9">
        <v>4746.7786340759894</v>
      </c>
      <c r="AF104" s="9">
        <v>4181.9241968775132</v>
      </c>
      <c r="AG104" s="9">
        <v>19134.617514938986</v>
      </c>
      <c r="AH104" s="9">
        <v>1609.743443567929</v>
      </c>
      <c r="AI104" s="9">
        <v>177</v>
      </c>
      <c r="AJ104" s="9">
        <v>3121.8432333744454</v>
      </c>
      <c r="AK104" s="9">
        <v>3.3513320555966812</v>
      </c>
      <c r="AL104" s="9">
        <v>54.836837416093672</v>
      </c>
      <c r="AM104" s="9">
        <v>18.87882431668972</v>
      </c>
      <c r="AN104" s="9">
        <v>1101.9346974264022</v>
      </c>
      <c r="AO104" s="9">
        <v>4993.2769079439522</v>
      </c>
      <c r="AP104" s="9">
        <v>1064.0667062408399</v>
      </c>
      <c r="AQ104" s="11">
        <v>7.3776322879412843</v>
      </c>
      <c r="AR104" s="9">
        <v>3995.2021350621958</v>
      </c>
      <c r="AS104" s="9">
        <v>103.57179520042965</v>
      </c>
      <c r="AT104" s="9">
        <v>1719.7817680681146</v>
      </c>
      <c r="AU104" s="9">
        <v>198.73466896068268</v>
      </c>
      <c r="AV104" s="9">
        <f t="shared" si="5"/>
        <v>130135.64656935907</v>
      </c>
    </row>
    <row r="105" spans="1:48" x14ac:dyDescent="0.3">
      <c r="A105" s="3">
        <f t="shared" si="4"/>
        <v>1901</v>
      </c>
      <c r="B105" s="9">
        <v>4898.075329929542</v>
      </c>
      <c r="C105" s="9">
        <v>3192.3189447549903</v>
      </c>
      <c r="D105" s="9">
        <v>224.59488101511647</v>
      </c>
      <c r="E105" s="9">
        <v>160.32105628548811</v>
      </c>
      <c r="F105" s="9">
        <v>9354.8806188774888</v>
      </c>
      <c r="G105" s="9">
        <v>7771.0347698130199</v>
      </c>
      <c r="H105" s="9">
        <v>143.90423382054496</v>
      </c>
      <c r="I105" s="9">
        <v>3184.6741832909302</v>
      </c>
      <c r="J105" s="9">
        <v>26.217570172770486</v>
      </c>
      <c r="K105" s="9">
        <v>93.120733880744226</v>
      </c>
      <c r="L105" s="9">
        <v>10342</v>
      </c>
      <c r="M105" s="9">
        <v>174.4966390230432</v>
      </c>
      <c r="N105" s="9">
        <v>540.33645066683027</v>
      </c>
      <c r="O105" s="9">
        <v>11259.578989032521</v>
      </c>
      <c r="P105" s="9">
        <v>3845.5631410443825</v>
      </c>
      <c r="Q105" s="9">
        <v>42.838968054463486</v>
      </c>
      <c r="R105" s="9">
        <v>12454.950111172035</v>
      </c>
      <c r="S105" s="9">
        <v>170.21661715195009</v>
      </c>
      <c r="T105" s="9">
        <v>4959.0316252101111</v>
      </c>
      <c r="U105" s="9">
        <v>199.33822166952311</v>
      </c>
      <c r="V105" s="9">
        <v>754.76456658050995</v>
      </c>
      <c r="W105" s="9">
        <v>2737.1170549046783</v>
      </c>
      <c r="X105" s="9">
        <v>301.67423756084429</v>
      </c>
      <c r="Y105" s="9">
        <v>767.29245505257825</v>
      </c>
      <c r="Z105" s="9">
        <v>838.24783154720421</v>
      </c>
      <c r="AA105" s="9">
        <v>509.92511454202094</v>
      </c>
      <c r="AB105" s="9">
        <v>2624.865687182416</v>
      </c>
      <c r="AC105" s="9">
        <v>2070.856441232494</v>
      </c>
      <c r="AD105" s="9">
        <v>371.1</v>
      </c>
      <c r="AE105" s="9">
        <v>4794.2464204167491</v>
      </c>
      <c r="AF105" s="9">
        <v>4148.4688033024922</v>
      </c>
      <c r="AG105" s="9">
        <v>19308.901018831788</v>
      </c>
      <c r="AH105" s="9">
        <v>1600.0849829065223</v>
      </c>
      <c r="AI105" s="9">
        <v>177</v>
      </c>
      <c r="AJ105" s="9">
        <v>3096.8684875074491</v>
      </c>
      <c r="AK105" s="9">
        <v>3.3</v>
      </c>
      <c r="AL105" s="9">
        <v>54.891674253509763</v>
      </c>
      <c r="AM105" s="9">
        <v>19.2</v>
      </c>
      <c r="AN105" s="9">
        <v>1109.6482403083869</v>
      </c>
      <c r="AO105" s="9">
        <v>5075.3972975274955</v>
      </c>
      <c r="AP105" s="9">
        <v>1081.5665513466379</v>
      </c>
      <c r="AQ105" s="11">
        <v>7.4978031610608866</v>
      </c>
      <c r="AR105" s="9">
        <v>4023.1685500076305</v>
      </c>
      <c r="AS105" s="9">
        <v>105.27515680615092</v>
      </c>
      <c r="AT105" s="9">
        <v>1733.5400222126596</v>
      </c>
      <c r="AU105" s="9">
        <v>198.59457170721959</v>
      </c>
      <c r="AV105" s="9">
        <f t="shared" si="5"/>
        <v>130550.98605376401</v>
      </c>
    </row>
    <row r="106" spans="1:48" x14ac:dyDescent="0.3">
      <c r="A106" s="3">
        <f t="shared" si="4"/>
        <v>1902</v>
      </c>
      <c r="B106" s="9">
        <v>4939.2066799295417</v>
      </c>
      <c r="C106" s="9">
        <v>3166.7803931969511</v>
      </c>
      <c r="D106" s="9">
        <v>228.28861149861692</v>
      </c>
      <c r="E106" s="9">
        <v>162.95772712176074</v>
      </c>
      <c r="F106" s="9">
        <v>9261.3318126887116</v>
      </c>
      <c r="G106" s="9">
        <v>7708.8664916545149</v>
      </c>
      <c r="H106" s="9">
        <v>140.87366334338827</v>
      </c>
      <c r="I106" s="9">
        <v>3157.4837749504086</v>
      </c>
      <c r="J106" s="9">
        <v>28.650715569793796</v>
      </c>
      <c r="K106" s="9">
        <v>93.306975348505716</v>
      </c>
      <c r="L106" s="9">
        <v>10465</v>
      </c>
      <c r="M106" s="9">
        <v>172.75167263281276</v>
      </c>
      <c r="N106" s="9">
        <v>544.11880582149809</v>
      </c>
      <c r="O106" s="9">
        <v>11338.396041955742</v>
      </c>
      <c r="P106" s="9">
        <v>3822.2392376871148</v>
      </c>
      <c r="Q106" s="9">
        <v>42.967484958626876</v>
      </c>
      <c r="R106" s="9">
        <v>12564.622221412719</v>
      </c>
      <c r="S106" s="9">
        <v>171.4081334720137</v>
      </c>
      <c r="T106" s="9">
        <v>4939.1954987092704</v>
      </c>
      <c r="U106" s="9">
        <v>202.61657628998265</v>
      </c>
      <c r="V106" s="9">
        <v>760.04791854657367</v>
      </c>
      <c r="W106" s="9">
        <v>2761.2299754533401</v>
      </c>
      <c r="X106" s="9">
        <v>303.78595722377025</v>
      </c>
      <c r="Y106" s="9">
        <v>768.05974750763073</v>
      </c>
      <c r="Z106" s="9">
        <v>840.76257504184571</v>
      </c>
      <c r="AA106" s="9">
        <v>513.49459034381482</v>
      </c>
      <c r="AB106" s="9">
        <v>2614.3662244336861</v>
      </c>
      <c r="AC106" s="9">
        <v>2054.2895897026342</v>
      </c>
      <c r="AD106" s="9">
        <v>373.3</v>
      </c>
      <c r="AE106" s="9">
        <v>4842.1888846209167</v>
      </c>
      <c r="AF106" s="9">
        <v>4115.281052876071</v>
      </c>
      <c r="AG106" s="9">
        <v>19484.771946131696</v>
      </c>
      <c r="AH106" s="9">
        <v>1590.4844730090833</v>
      </c>
      <c r="AI106" s="9">
        <v>177</v>
      </c>
      <c r="AJ106" s="9">
        <v>3072.0935396073887</v>
      </c>
      <c r="AK106" s="9">
        <v>3.3194173650075682</v>
      </c>
      <c r="AL106" s="9">
        <v>54.946565927763267</v>
      </c>
      <c r="AM106" s="9">
        <v>19.521512919270954</v>
      </c>
      <c r="AN106" s="9">
        <v>1117.4157779905454</v>
      </c>
      <c r="AO106" s="9">
        <v>5158.8682547862709</v>
      </c>
      <c r="AP106" s="9">
        <v>1099.3542022609722</v>
      </c>
      <c r="AQ106" s="11">
        <v>7.6199314424902056</v>
      </c>
      <c r="AR106" s="9">
        <v>4051.3307298576833</v>
      </c>
      <c r="AS106" s="9">
        <v>107.00653222349179</v>
      </c>
      <c r="AT106" s="9">
        <v>1747.4083423903608</v>
      </c>
      <c r="AU106" s="9">
        <v>198.4545732147856</v>
      </c>
      <c r="AV106" s="9">
        <f t="shared" si="5"/>
        <v>130987.46483311907</v>
      </c>
    </row>
    <row r="107" spans="1:48" x14ac:dyDescent="0.3">
      <c r="A107" s="3">
        <f t="shared" si="4"/>
        <v>1903</v>
      </c>
      <c r="B107" s="9">
        <v>5027.0878878941985</v>
      </c>
      <c r="C107" s="9">
        <v>3141.4461500513762</v>
      </c>
      <c r="D107" s="9">
        <v>232.04308978199185</v>
      </c>
      <c r="E107" s="9">
        <v>165.63776115223834</v>
      </c>
      <c r="F107" s="9">
        <v>9168.7184945618228</v>
      </c>
      <c r="G107" s="9">
        <v>7647.1955597212764</v>
      </c>
      <c r="H107" s="9">
        <v>138</v>
      </c>
      <c r="I107" s="9">
        <v>3130.5255154148113</v>
      </c>
      <c r="J107" s="9">
        <v>31.35429189376562</v>
      </c>
      <c r="K107" s="9">
        <v>93.493589299202725</v>
      </c>
      <c r="L107" s="9">
        <v>10624</v>
      </c>
      <c r="M107" s="9">
        <v>171.02415590648457</v>
      </c>
      <c r="N107" s="9">
        <v>547.92763746224841</v>
      </c>
      <c r="O107" s="9">
        <v>11417.764814249427</v>
      </c>
      <c r="P107" s="9">
        <v>3799.0795478923064</v>
      </c>
      <c r="Q107" s="9">
        <v>43.096387413502754</v>
      </c>
      <c r="R107" s="9">
        <v>12675.336917602464</v>
      </c>
      <c r="S107" s="9">
        <v>172.60799040631778</v>
      </c>
      <c r="T107" s="9">
        <v>4919.4387167144332</v>
      </c>
      <c r="U107" s="9">
        <v>205.94884735921696</v>
      </c>
      <c r="V107" s="9">
        <v>765.36825397639973</v>
      </c>
      <c r="W107" s="9">
        <v>2785.5553213114499</v>
      </c>
      <c r="X107" s="9">
        <v>305.91245892433665</v>
      </c>
      <c r="Y107" s="9">
        <v>768.82780725513828</v>
      </c>
      <c r="Z107" s="9">
        <v>843.28486276697106</v>
      </c>
      <c r="AA107" s="9">
        <v>517.08905247622147</v>
      </c>
      <c r="AB107" s="9">
        <v>2603.9087595359515</v>
      </c>
      <c r="AC107" s="9">
        <v>2037.8552729850137</v>
      </c>
      <c r="AD107" s="9">
        <v>373.5</v>
      </c>
      <c r="AE107" s="9">
        <v>4890.6107734671259</v>
      </c>
      <c r="AF107" s="9">
        <v>4082.3588044530616</v>
      </c>
      <c r="AG107" s="9">
        <v>19662.244755539708</v>
      </c>
      <c r="AH107" s="9">
        <v>1580.9415661710298</v>
      </c>
      <c r="AI107" s="9">
        <v>177</v>
      </c>
      <c r="AJ107" s="9">
        <v>3047.516791290529</v>
      </c>
      <c r="AK107" s="9">
        <v>3.338948982761754</v>
      </c>
      <c r="AL107" s="9">
        <v>55.001512493691024</v>
      </c>
      <c r="AM107" s="9">
        <v>19.848409721732434</v>
      </c>
      <c r="AN107" s="9">
        <v>1125.2376884364792</v>
      </c>
      <c r="AO107" s="9">
        <v>5243.7119914152636</v>
      </c>
      <c r="AP107" s="9">
        <v>1117.4343922933635</v>
      </c>
      <c r="AQ107" s="11">
        <v>7.7440490155566195</v>
      </c>
      <c r="AR107" s="9">
        <v>4079.6900449666869</v>
      </c>
      <c r="AS107" s="9">
        <v>108.76638217297027</v>
      </c>
      <c r="AT107" s="9">
        <v>1761.3876091294837</v>
      </c>
      <c r="AU107" s="9">
        <v>198.31467341375952</v>
      </c>
      <c r="AV107" s="9">
        <f t="shared" si="5"/>
        <v>131514.17753697178</v>
      </c>
    </row>
    <row r="108" spans="1:48" x14ac:dyDescent="0.3">
      <c r="A108" s="3">
        <f t="shared" si="4"/>
        <v>1904</v>
      </c>
      <c r="B108" s="9">
        <v>5132.7016952705344</v>
      </c>
      <c r="C108" s="9">
        <v>3116.3145808509657</v>
      </c>
      <c r="D108" s="9">
        <v>235.85931493520758</v>
      </c>
      <c r="E108" s="9">
        <v>168.36187153632855</v>
      </c>
      <c r="F108" s="9">
        <v>9077.0313096162026</v>
      </c>
      <c r="G108" s="9">
        <v>7586.0179952435064</v>
      </c>
      <c r="H108" s="9">
        <v>136</v>
      </c>
      <c r="I108" s="9">
        <v>3103.7974226224142</v>
      </c>
      <c r="J108" s="9">
        <v>34.362105851137422</v>
      </c>
      <c r="K108" s="9">
        <v>93.680576477801125</v>
      </c>
      <c r="L108" s="9">
        <v>10786</v>
      </c>
      <c r="M108" s="9">
        <v>169.31391434741968</v>
      </c>
      <c r="N108" s="9">
        <v>551.76313092448424</v>
      </c>
      <c r="O108" s="9">
        <v>11497.689167949165</v>
      </c>
      <c r="P108" s="9">
        <v>3776.0827566175685</v>
      </c>
      <c r="Q108" s="9">
        <v>43.22567657574325</v>
      </c>
      <c r="R108" s="9">
        <v>12787.104609088521</v>
      </c>
      <c r="S108" s="9">
        <v>173.81624633916201</v>
      </c>
      <c r="T108" s="9">
        <v>4899.7609618475753</v>
      </c>
      <c r="U108" s="9">
        <v>209.33592159748198</v>
      </c>
      <c r="V108" s="9">
        <v>770.72583175423472</v>
      </c>
      <c r="W108" s="9">
        <v>2810.0949638621132</v>
      </c>
      <c r="X108" s="9">
        <v>308.05384613680707</v>
      </c>
      <c r="Y108" s="9">
        <v>769.59663506239337</v>
      </c>
      <c r="Z108" s="9">
        <v>845.81471735527202</v>
      </c>
      <c r="AA108" s="9">
        <v>520.70867584355483</v>
      </c>
      <c r="AB108" s="9">
        <v>2593.4931244978075</v>
      </c>
      <c r="AC108" s="9">
        <v>2021.5524308011341</v>
      </c>
      <c r="AD108" s="9">
        <v>374.1</v>
      </c>
      <c r="AE108" s="9">
        <v>4939.5168812017973</v>
      </c>
      <c r="AF108" s="9">
        <v>4049.6999340174361</v>
      </c>
      <c r="AG108" s="9">
        <v>19841.334037450775</v>
      </c>
      <c r="AH108" s="9">
        <v>1571.455916774004</v>
      </c>
      <c r="AI108" s="9">
        <v>177</v>
      </c>
      <c r="AJ108" s="9">
        <v>3023.1366569602037</v>
      </c>
      <c r="AK108" s="9">
        <v>3.358595525531431</v>
      </c>
      <c r="AL108" s="9">
        <v>55.056514006184706</v>
      </c>
      <c r="AM108" s="9">
        <v>20.180780563009527</v>
      </c>
      <c r="AN108" s="9">
        <v>1133.1143522555344</v>
      </c>
      <c r="AO108" s="9">
        <v>5329.9510844072511</v>
      </c>
      <c r="AP108" s="9">
        <v>1135.8119325982466</v>
      </c>
      <c r="AQ108" s="11">
        <v>7.8701882829204379</v>
      </c>
      <c r="AR108" s="9">
        <v>4108.2478752814532</v>
      </c>
      <c r="AS108" s="9">
        <v>110.55517495220246</v>
      </c>
      <c r="AT108" s="9">
        <v>1775.4787100025196</v>
      </c>
      <c r="AU108" s="9">
        <v>198.17487223456922</v>
      </c>
      <c r="AV108" s="9">
        <f t="shared" si="5"/>
        <v>132072.30298951818</v>
      </c>
    </row>
    <row r="109" spans="1:48" x14ac:dyDescent="0.3">
      <c r="A109" s="3">
        <f t="shared" si="4"/>
        <v>1905</v>
      </c>
      <c r="B109" s="9">
        <v>5179.3105267695491</v>
      </c>
      <c r="C109" s="9">
        <v>3091.3840642041587</v>
      </c>
      <c r="D109" s="9">
        <v>239.73830245912654</v>
      </c>
      <c r="E109" s="9">
        <v>171.13078316219523</v>
      </c>
      <c r="F109" s="9">
        <v>8986.260996520039</v>
      </c>
      <c r="G109" s="9">
        <v>7525.3298512815563</v>
      </c>
      <c r="H109" s="9">
        <v>134</v>
      </c>
      <c r="I109" s="9">
        <v>3077.2975314341252</v>
      </c>
      <c r="J109" s="9">
        <v>37.712453466448281</v>
      </c>
      <c r="K109" s="9">
        <v>93.867937630756728</v>
      </c>
      <c r="L109" s="9">
        <v>10951</v>
      </c>
      <c r="M109" s="9">
        <v>167.62077520394547</v>
      </c>
      <c r="N109" s="9">
        <v>555.62547284095547</v>
      </c>
      <c r="O109" s="9">
        <v>11578.172992124806</v>
      </c>
      <c r="P109" s="9">
        <v>3753.2475603566181</v>
      </c>
      <c r="Q109" s="9">
        <v>43.355353605470476</v>
      </c>
      <c r="R109" s="9">
        <v>12899.935812469324</v>
      </c>
      <c r="S109" s="9">
        <v>175.03296006353611</v>
      </c>
      <c r="T109" s="9">
        <v>4880.1619180001862</v>
      </c>
      <c r="U109" s="9">
        <v>212.7787003082052</v>
      </c>
      <c r="V109" s="9">
        <v>776.12091257651434</v>
      </c>
      <c r="W109" s="9">
        <v>2834.850790974579</v>
      </c>
      <c r="X109" s="9">
        <v>310.2102230597647</v>
      </c>
      <c r="Y109" s="9">
        <v>770.36623169745565</v>
      </c>
      <c r="Z109" s="9">
        <v>848.35216150733754</v>
      </c>
      <c r="AA109" s="9">
        <v>524.35363657445964</v>
      </c>
      <c r="AB109" s="9">
        <v>2583.1191519998169</v>
      </c>
      <c r="AC109" s="9">
        <v>2005.3800113547252</v>
      </c>
      <c r="AD109" s="9">
        <v>375.7</v>
      </c>
      <c r="AE109" s="9">
        <v>4988.9120500138151</v>
      </c>
      <c r="AF109" s="9">
        <v>4017.3023345452957</v>
      </c>
      <c r="AG109" s="9">
        <v>20022.054515153282</v>
      </c>
      <c r="AH109" s="9">
        <v>1562.0271812733606</v>
      </c>
      <c r="AI109" s="9">
        <v>177</v>
      </c>
      <c r="AJ109" s="9">
        <v>2998.9515637045215</v>
      </c>
      <c r="AK109" s="9">
        <v>3.378357669541137</v>
      </c>
      <c r="AL109" s="9">
        <v>55.111570520190888</v>
      </c>
      <c r="AM109" s="9">
        <v>20.518717108425136</v>
      </c>
      <c r="AN109" s="9">
        <v>1141.0461527213231</v>
      </c>
      <c r="AO109" s="9">
        <v>5417.6084820605647</v>
      </c>
      <c r="AP109" s="9">
        <v>1154.4917134552254</v>
      </c>
      <c r="AQ109" s="11">
        <v>7.9983821750340631</v>
      </c>
      <c r="AR109" s="9">
        <v>4137.0056104084233</v>
      </c>
      <c r="AS109" s="9">
        <v>112.37338656051683</v>
      </c>
      <c r="AT109" s="9">
        <v>1789.6825396825398</v>
      </c>
      <c r="AU109" s="9">
        <v>198.03516960769159</v>
      </c>
      <c r="AV109" s="9">
        <f t="shared" si="5"/>
        <v>132584.91483830538</v>
      </c>
    </row>
    <row r="110" spans="1:48" x14ac:dyDescent="0.3">
      <c r="A110" s="3">
        <f t="shared" si="4"/>
        <v>1906</v>
      </c>
      <c r="B110" s="9">
        <v>5231.8500000000004</v>
      </c>
      <c r="C110" s="9">
        <v>3066.6529916905256</v>
      </c>
      <c r="D110" s="9">
        <v>243.68108455573338</v>
      </c>
      <c r="E110" s="9">
        <v>173.94523283965225</v>
      </c>
      <c r="F110" s="9">
        <v>8896.3983865548362</v>
      </c>
      <c r="G110" s="9">
        <v>7465.1272124713032</v>
      </c>
      <c r="H110" s="9">
        <v>135</v>
      </c>
      <c r="I110" s="9">
        <v>3051.0238934890003</v>
      </c>
      <c r="J110" s="9">
        <v>41.448732651260542</v>
      </c>
      <c r="K110" s="9">
        <v>94.055673506018238</v>
      </c>
      <c r="L110" s="9">
        <v>11118</v>
      </c>
      <c r="M110" s="9">
        <v>165.94456745190595</v>
      </c>
      <c r="N110" s="9">
        <v>559.51485115084199</v>
      </c>
      <c r="O110" s="9">
        <v>11659.220203069672</v>
      </c>
      <c r="P110" s="9">
        <v>3730.5726670322047</v>
      </c>
      <c r="Q110" s="9">
        <v>43.48541966628688</v>
      </c>
      <c r="R110" s="9">
        <v>13013.841152722549</v>
      </c>
      <c r="S110" s="9">
        <v>176.25819078398084</v>
      </c>
      <c r="T110" s="9">
        <v>4860.6412703281849</v>
      </c>
      <c r="U110" s="9">
        <v>216.27809961782305</v>
      </c>
      <c r="V110" s="9">
        <v>781.55375896455007</v>
      </c>
      <c r="W110" s="9">
        <v>2859.8247071494798</v>
      </c>
      <c r="X110" s="9">
        <v>312.38169462118316</v>
      </c>
      <c r="Y110" s="9">
        <v>771.13659792915303</v>
      </c>
      <c r="Z110" s="9">
        <v>850.89721799185952</v>
      </c>
      <c r="AA110" s="9">
        <v>528.02411203048052</v>
      </c>
      <c r="AB110" s="9">
        <v>2572.786675391817</v>
      </c>
      <c r="AC110" s="9">
        <v>1989.3369712638876</v>
      </c>
      <c r="AD110" s="9">
        <v>373</v>
      </c>
      <c r="AE110" s="9">
        <v>5038.8011705139534</v>
      </c>
      <c r="AF110" s="9">
        <v>3985.1639158689318</v>
      </c>
      <c r="AG110" s="9">
        <v>20204.421046039472</v>
      </c>
      <c r="AH110" s="9">
        <v>1552.6550181857208</v>
      </c>
      <c r="AI110" s="9">
        <v>177</v>
      </c>
      <c r="AJ110" s="9">
        <v>2974.9599511948845</v>
      </c>
      <c r="AK110" s="9">
        <v>3.3982360949943486</v>
      </c>
      <c r="AL110" s="9">
        <v>55.16668209071107</v>
      </c>
      <c r="AM110" s="9">
        <v>20.862312558280586</v>
      </c>
      <c r="AN110" s="9">
        <v>1149.033475790372</v>
      </c>
      <c r="AO110" s="9">
        <v>5506.7075100856528</v>
      </c>
      <c r="AP110" s="9">
        <v>1173.47870557038</v>
      </c>
      <c r="AQ110" s="11">
        <v>8.1286641587389514</v>
      </c>
      <c r="AR110" s="9">
        <v>4165.9646496812811</v>
      </c>
      <c r="AS110" s="9">
        <v>114.22150082561812</v>
      </c>
      <c r="AT110" s="9">
        <v>1804</v>
      </c>
      <c r="AU110" s="9">
        <v>197.89556546365256</v>
      </c>
      <c r="AV110" s="9">
        <f t="shared" si="5"/>
        <v>133113.73976904686</v>
      </c>
    </row>
    <row r="111" spans="1:48" x14ac:dyDescent="0.3">
      <c r="A111" s="3">
        <f t="shared" si="4"/>
        <v>1907</v>
      </c>
      <c r="B111" s="9">
        <v>5275.8765999999996</v>
      </c>
      <c r="C111" s="9">
        <v>3042.1197677570021</v>
      </c>
      <c r="D111" s="9">
        <v>247.68871040280411</v>
      </c>
      <c r="E111" s="9">
        <v>176.80596949622881</v>
      </c>
      <c r="F111" s="9">
        <v>8807.434402689285</v>
      </c>
      <c r="G111" s="9">
        <v>7405.4061947715318</v>
      </c>
      <c r="H111" s="9">
        <v>142</v>
      </c>
      <c r="I111" s="9">
        <v>3024.9745770609925</v>
      </c>
      <c r="J111" s="9">
        <v>45.62014032243998</v>
      </c>
      <c r="K111" s="9">
        <v>94.243784853030277</v>
      </c>
      <c r="L111" s="9">
        <v>11287</v>
      </c>
      <c r="M111" s="9">
        <v>164.28512177738685</v>
      </c>
      <c r="N111" s="9">
        <v>563.43145510889804</v>
      </c>
      <c r="O111" s="9">
        <v>11740.834744491152</v>
      </c>
      <c r="P111" s="9">
        <v>3708.0567958900747</v>
      </c>
      <c r="Q111" s="9">
        <v>43.615875925285735</v>
      </c>
      <c r="R111" s="9">
        <v>13128.831364345246</v>
      </c>
      <c r="S111" s="9">
        <v>177.49199811946869</v>
      </c>
      <c r="T111" s="9">
        <v>4841.1987052468721</v>
      </c>
      <c r="U111" s="9">
        <v>219.83505071956307</v>
      </c>
      <c r="V111" s="9">
        <v>787.02463527730197</v>
      </c>
      <c r="W111" s="9">
        <v>2885.0186336653464</v>
      </c>
      <c r="X111" s="9">
        <v>314.56836648353141</v>
      </c>
      <c r="Y111" s="9">
        <v>771.90773452708208</v>
      </c>
      <c r="Z111" s="9">
        <v>853.44990964583496</v>
      </c>
      <c r="AA111" s="9">
        <v>531.72028081469375</v>
      </c>
      <c r="AB111" s="9">
        <v>2562.49552869025</v>
      </c>
      <c r="AC111" s="9">
        <v>1973.4222754937769</v>
      </c>
      <c r="AD111" s="9">
        <v>372.3</v>
      </c>
      <c r="AE111" s="9">
        <v>5089.1891822190928</v>
      </c>
      <c r="AF111" s="9">
        <v>3953.2826045419793</v>
      </c>
      <c r="AG111" s="9">
        <v>20388.448622826942</v>
      </c>
      <c r="AH111" s="9">
        <v>1543.3390880766074</v>
      </c>
      <c r="AI111" s="9">
        <v>176.39485705908078</v>
      </c>
      <c r="AJ111" s="9">
        <v>2951.1602715853242</v>
      </c>
      <c r="AK111" s="9">
        <v>3.4182314860968939</v>
      </c>
      <c r="AL111" s="9">
        <v>55.221848772801778</v>
      </c>
      <c r="AM111" s="9">
        <v>21.211661673559536</v>
      </c>
      <c r="AN111" s="9">
        <v>1157.0767101209046</v>
      </c>
      <c r="AO111" s="9">
        <v>5597.2718778120698</v>
      </c>
      <c r="AP111" s="9">
        <v>1192.7779613989765</v>
      </c>
      <c r="AQ111" s="11">
        <v>8.261068246002619</v>
      </c>
      <c r="AR111" s="9">
        <v>4195.1264022290497</v>
      </c>
      <c r="AS111" s="9">
        <v>116.10000953233414</v>
      </c>
      <c r="AT111" s="9">
        <v>1834.2148858397054</v>
      </c>
      <c r="AU111" s="9">
        <v>197.75605973302703</v>
      </c>
      <c r="AV111" s="9">
        <f t="shared" si="5"/>
        <v>133668.90996672862</v>
      </c>
    </row>
    <row r="112" spans="1:48" x14ac:dyDescent="0.3">
      <c r="A112" s="3">
        <f t="shared" si="4"/>
        <v>1908</v>
      </c>
      <c r="B112" s="9">
        <v>5319.8681999999999</v>
      </c>
      <c r="C112" s="9">
        <v>3017.7828096149469</v>
      </c>
      <c r="D112" s="9">
        <v>251.76224643309405</v>
      </c>
      <c r="E112" s="9">
        <v>179.71375437645989</v>
      </c>
      <c r="F112" s="9">
        <v>8719.3600586623907</v>
      </c>
      <c r="G112" s="9">
        <v>7346.1629452133584</v>
      </c>
      <c r="H112" s="9">
        <v>142.33216510584262</v>
      </c>
      <c r="I112" s="9">
        <v>2999.1476669169256</v>
      </c>
      <c r="J112" s="9">
        <v>50.282465794743217</v>
      </c>
      <c r="K112" s="9">
        <v>94.432272422736332</v>
      </c>
      <c r="L112" s="9">
        <v>11421.729185115619</v>
      </c>
      <c r="M112" s="9">
        <v>162.64227055961294</v>
      </c>
      <c r="N112" s="9">
        <v>567.37547529466019</v>
      </c>
      <c r="O112" s="9">
        <v>11823.020587702584</v>
      </c>
      <c r="P112" s="9">
        <v>3685.6986773939379</v>
      </c>
      <c r="Q112" s="9">
        <v>43.746723553061585</v>
      </c>
      <c r="R112" s="9">
        <v>13244.917292506057</v>
      </c>
      <c r="S112" s="9">
        <v>178.73444210630495</v>
      </c>
      <c r="T112" s="9">
        <v>4821.8339104258848</v>
      </c>
      <c r="U112" s="9">
        <v>223.45050012123508</v>
      </c>
      <c r="V112" s="9">
        <v>792.53380772424316</v>
      </c>
      <c r="W112" s="9">
        <v>2910.434508726416</v>
      </c>
      <c r="X112" s="9">
        <v>316.77034504891617</v>
      </c>
      <c r="Y112" s="9">
        <v>772.67964226160905</v>
      </c>
      <c r="Z112" s="9">
        <v>856.01025937477232</v>
      </c>
      <c r="AA112" s="9">
        <v>535.44232278039647</v>
      </c>
      <c r="AB112" s="9">
        <v>2552.2455465754888</v>
      </c>
      <c r="AC112" s="9">
        <v>1957.6348972898272</v>
      </c>
      <c r="AD112" s="9">
        <v>371.2</v>
      </c>
      <c r="AE112" s="9">
        <v>5140.0810740412835</v>
      </c>
      <c r="AF112" s="9">
        <v>3921.6563437056425</v>
      </c>
      <c r="AG112" s="9">
        <v>20574.152374791171</v>
      </c>
      <c r="AH112" s="9">
        <v>1534.0790535481481</v>
      </c>
      <c r="AI112" s="9">
        <v>175.79178303329684</v>
      </c>
      <c r="AJ112" s="9">
        <v>2927.5509894126412</v>
      </c>
      <c r="AK112" s="9">
        <v>3.4383445310805016</v>
      </c>
      <c r="AL112" s="9">
        <v>55.277070621574573</v>
      </c>
      <c r="AM112" s="9">
        <v>21.566860802062347</v>
      </c>
      <c r="AN112" s="9">
        <v>1165.1762470917508</v>
      </c>
      <c r="AO112" s="9">
        <v>5689.3256844975494</v>
      </c>
      <c r="AP112" s="9">
        <v>1212.3946164899278</v>
      </c>
      <c r="AQ112" s="11">
        <v>8.3956290027979286</v>
      </c>
      <c r="AR112" s="9">
        <v>4224.4922870446526</v>
      </c>
      <c r="AS112" s="9">
        <v>118.0094125534805</v>
      </c>
      <c r="AT112" s="9">
        <v>1864.9358356075186</v>
      </c>
      <c r="AU112" s="9">
        <v>197.61665234643883</v>
      </c>
      <c r="AV112" s="9">
        <f t="shared" si="5"/>
        <v>134192.8852382222</v>
      </c>
    </row>
    <row r="113" spans="1:48" x14ac:dyDescent="0.3">
      <c r="A113" s="3">
        <f t="shared" si="4"/>
        <v>1909</v>
      </c>
      <c r="B113" s="9">
        <v>5379.3757999999998</v>
      </c>
      <c r="C113" s="9">
        <v>2993.6405471380281</v>
      </c>
      <c r="D113" s="9">
        <v>255.90277661811587</v>
      </c>
      <c r="E113" s="9">
        <v>182.66936124445414</v>
      </c>
      <c r="F113" s="9">
        <v>8632.1664580757642</v>
      </c>
      <c r="G113" s="9">
        <v>7287.3936416516499</v>
      </c>
      <c r="H113" s="9">
        <v>142.66510720927354</v>
      </c>
      <c r="I113" s="9">
        <v>2973.5412641756802</v>
      </c>
      <c r="J113" s="9">
        <v>55.498993801758886</v>
      </c>
      <c r="K113" s="9">
        <v>94.621136967581805</v>
      </c>
      <c r="L113" s="9">
        <v>11558.06658794382</v>
      </c>
      <c r="M113" s="9">
        <v>161.01584785401678</v>
      </c>
      <c r="N113" s="9">
        <v>571.34710362172279</v>
      </c>
      <c r="O113" s="9">
        <v>11905.781731816496</v>
      </c>
      <c r="P113" s="9">
        <v>3663.4970531214567</v>
      </c>
      <c r="Q113" s="9">
        <v>43.877963723720761</v>
      </c>
      <c r="R113" s="9">
        <v>13362.109894209814</v>
      </c>
      <c r="S113" s="9">
        <v>179.98558320104908</v>
      </c>
      <c r="T113" s="9">
        <v>4802.5465747841808</v>
      </c>
      <c r="U113" s="9">
        <v>227.12540989709794</v>
      </c>
      <c r="V113" s="9">
        <v>798.08154437831286</v>
      </c>
      <c r="W113" s="9">
        <v>2936.0742876117392</v>
      </c>
      <c r="X113" s="9">
        <v>318.9877374642586</v>
      </c>
      <c r="Y113" s="9">
        <v>773.4523219038706</v>
      </c>
      <c r="Z113" s="9">
        <v>858.57829015289656</v>
      </c>
      <c r="AA113" s="9">
        <v>539.19041903985897</v>
      </c>
      <c r="AB113" s="9">
        <v>2542.0365643891869</v>
      </c>
      <c r="AC113" s="9">
        <v>1941.973818111509</v>
      </c>
      <c r="AD113" s="9">
        <v>368.5</v>
      </c>
      <c r="AE113" s="9">
        <v>5191.481884781696</v>
      </c>
      <c r="AF113" s="9">
        <v>3890.2830929559964</v>
      </c>
      <c r="AG113" s="9">
        <v>20761.547569009377</v>
      </c>
      <c r="AH113" s="9">
        <v>1524.8745792268599</v>
      </c>
      <c r="AI113" s="9">
        <v>175.19077084926181</v>
      </c>
      <c r="AJ113" s="9">
        <v>2904.1305814973393</v>
      </c>
      <c r="AK113" s="9">
        <v>3.4585759222264914</v>
      </c>
      <c r="AL113" s="9">
        <v>55.332347692196144</v>
      </c>
      <c r="AM113" s="9">
        <v>21.928007904978045</v>
      </c>
      <c r="AN113" s="9">
        <v>1173.3324808213929</v>
      </c>
      <c r="AO113" s="9">
        <v>5782.8934257408409</v>
      </c>
      <c r="AP113" s="9">
        <v>1232.3338908523706</v>
      </c>
      <c r="AQ113" s="11">
        <v>8.5323815581270512</v>
      </c>
      <c r="AR113" s="9">
        <v>4254.0637330539657</v>
      </c>
      <c r="AS113" s="9">
        <v>119.95021798287685</v>
      </c>
      <c r="AT113" s="9">
        <v>1896.1713252811642</v>
      </c>
      <c r="AU113" s="9">
        <v>197.47734323456069</v>
      </c>
      <c r="AV113" s="9">
        <f t="shared" si="5"/>
        <v>134742.68602847256</v>
      </c>
    </row>
    <row r="114" spans="1:48" x14ac:dyDescent="0.3">
      <c r="A114" s="3">
        <f t="shared" si="4"/>
        <v>1910</v>
      </c>
      <c r="B114" s="9">
        <v>5420.6894000000002</v>
      </c>
      <c r="C114" s="9">
        <v>2969.6914227609273</v>
      </c>
      <c r="D114" s="9">
        <v>260.11140275658602</v>
      </c>
      <c r="E114" s="9">
        <v>185.67357658979313</v>
      </c>
      <c r="F114" s="9">
        <v>8545.8447934950145</v>
      </c>
      <c r="G114" s="9">
        <v>7229.0944925184413</v>
      </c>
      <c r="H114" s="9">
        <v>143</v>
      </c>
      <c r="I114" s="9">
        <v>2948.1534861685818</v>
      </c>
      <c r="J114" s="9">
        <v>65.177999999999997</v>
      </c>
      <c r="K114" s="9">
        <v>94.810379241516969</v>
      </c>
      <c r="L114" s="9">
        <v>11696.03140524742</v>
      </c>
      <c r="M114" s="9">
        <v>159.40568937547644</v>
      </c>
      <c r="N114" s="9">
        <v>575.3465333470748</v>
      </c>
      <c r="O114" s="9">
        <v>11989.122203939198</v>
      </c>
      <c r="P114" s="9">
        <v>3641.4506756612204</v>
      </c>
      <c r="Q114" s="9">
        <v>44.009597614891987</v>
      </c>
      <c r="R114" s="9">
        <v>13480.420239474488</v>
      </c>
      <c r="S114" s="9">
        <v>181.2454822834566</v>
      </c>
      <c r="T114" s="9">
        <v>4783.3363884850523</v>
      </c>
      <c r="U114" s="9">
        <v>230.86075794386844</v>
      </c>
      <c r="V114" s="9">
        <v>803.6681151889602</v>
      </c>
      <c r="W114" s="9">
        <v>2961.9399428256052</v>
      </c>
      <c r="X114" s="9">
        <v>321.2206516265087</v>
      </c>
      <c r="Y114" s="9">
        <v>774.22577422577433</v>
      </c>
      <c r="Z114" s="9">
        <v>861.15402502335496</v>
      </c>
      <c r="AA114" s="9">
        <v>542.96475197313805</v>
      </c>
      <c r="AB114" s="9">
        <v>2531.8684181316275</v>
      </c>
      <c r="AC114" s="9">
        <v>1926.4380275666192</v>
      </c>
      <c r="AD114" s="9">
        <v>367.9</v>
      </c>
      <c r="AE114" s="9">
        <v>5243.3967036295126</v>
      </c>
      <c r="AF114" s="9">
        <v>3859.1608282123443</v>
      </c>
      <c r="AG114" s="9">
        <v>20950.649611615645</v>
      </c>
      <c r="AH114" s="9">
        <v>1515.7253317514999</v>
      </c>
      <c r="AI114" s="9">
        <v>174.59181345777239</v>
      </c>
      <c r="AJ114" s="9">
        <v>2880.8975368453648</v>
      </c>
      <c r="AK114" s="9">
        <v>3.4789263558896</v>
      </c>
      <c r="AL114" s="9">
        <v>55.387680039888338</v>
      </c>
      <c r="AM114" s="9">
        <v>22.295202583901276</v>
      </c>
      <c r="AN114" s="9">
        <v>1181.5458081871423</v>
      </c>
      <c r="AO114" s="9">
        <v>5878</v>
      </c>
      <c r="AP114" s="9">
        <v>1252.6010903447102</v>
      </c>
      <c r="AQ114" s="11">
        <v>8.671361613192385</v>
      </c>
      <c r="AR114" s="9">
        <v>4283.8421791853416</v>
      </c>
      <c r="AS114" s="9">
        <v>121.9229422705511</v>
      </c>
      <c r="AT114" s="9">
        <v>1927.9299728010608</v>
      </c>
      <c r="AU114" s="9">
        <v>197.33813232811423</v>
      </c>
      <c r="AV114" s="9">
        <f t="shared" si="5"/>
        <v>135292.29075468658</v>
      </c>
    </row>
    <row r="115" spans="1:48" x14ac:dyDescent="0.3">
      <c r="A115" s="3">
        <f t="shared" si="4"/>
        <v>1911</v>
      </c>
      <c r="B115" s="9">
        <v>5563.8280000000004</v>
      </c>
      <c r="C115" s="9">
        <v>2957.8126570698837</v>
      </c>
      <c r="D115" s="9">
        <v>264.1440770776851</v>
      </c>
      <c r="E115" s="9">
        <v>188.55219343044354</v>
      </c>
      <c r="F115" s="9">
        <v>8495.48951636735</v>
      </c>
      <c r="G115" s="9">
        <v>7214.6363035334034</v>
      </c>
      <c r="H115" s="9">
        <v>143.5</v>
      </c>
      <c r="I115" s="9">
        <v>2935.4490342611161</v>
      </c>
      <c r="J115" s="9">
        <v>67.201196079230357</v>
      </c>
      <c r="K115" s="9">
        <v>95</v>
      </c>
      <c r="L115" s="9">
        <v>11835.643062934641</v>
      </c>
      <c r="M115" s="9">
        <v>158.44925523922353</v>
      </c>
      <c r="N115" s="9">
        <v>576.497226413769</v>
      </c>
      <c r="O115" s="9">
        <v>12061.056937162835</v>
      </c>
      <c r="P115" s="9">
        <v>3624.1016849580119</v>
      </c>
      <c r="Q115" s="9">
        <v>44.097616810121764</v>
      </c>
      <c r="R115" s="9">
        <v>13580.308650277713</v>
      </c>
      <c r="S115" s="9">
        <v>182.33295517715732</v>
      </c>
      <c r="T115" s="9">
        <v>4783.3363884850514</v>
      </c>
      <c r="U115" s="9">
        <v>234.43994071111123</v>
      </c>
      <c r="V115" s="9">
        <v>810.09746011047184</v>
      </c>
      <c r="W115" s="9">
        <v>2983.7257048777365</v>
      </c>
      <c r="X115" s="9">
        <v>323.14797553626761</v>
      </c>
      <c r="Y115" s="9">
        <v>775</v>
      </c>
      <c r="Z115" s="9">
        <v>862.87633307340161</v>
      </c>
      <c r="AA115" s="9">
        <v>546.22254048497712</v>
      </c>
      <c r="AB115" s="9">
        <v>2526.8046812953648</v>
      </c>
      <c r="AC115" s="9">
        <v>1918.7322754563529</v>
      </c>
      <c r="AD115" s="9">
        <v>370.2</v>
      </c>
      <c r="AE115" s="9">
        <v>5306.3174640730667</v>
      </c>
      <c r="AF115" s="9">
        <v>3843.7241848994954</v>
      </c>
      <c r="AG115" s="9">
        <v>21143.181879171792</v>
      </c>
      <c r="AH115" s="9">
        <v>1509.6624304244936</v>
      </c>
      <c r="AI115" s="9">
        <v>174</v>
      </c>
      <c r="AJ115" s="9">
        <v>2869.3739466979832</v>
      </c>
      <c r="AK115" s="9">
        <v>3.5</v>
      </c>
      <c r="AL115" s="9">
        <v>55.443067719928223</v>
      </c>
      <c r="AM115" s="9">
        <v>22.7</v>
      </c>
      <c r="AN115" s="9">
        <v>1188.6350830362653</v>
      </c>
      <c r="AO115" s="9">
        <v>5992</v>
      </c>
      <c r="AP115" s="9">
        <v>1272.0209704348615</v>
      </c>
      <c r="AQ115" s="11">
        <v>8.7152083693655236</v>
      </c>
      <c r="AR115" s="9">
        <v>4309.5452322604542</v>
      </c>
      <c r="AS115" s="9">
        <v>123.81319203752277</v>
      </c>
      <c r="AT115" s="9">
        <v>1929</v>
      </c>
      <c r="AU115" s="9">
        <v>197.2</v>
      </c>
      <c r="AV115" s="9">
        <f t="shared" si="5"/>
        <v>136071.51632594856</v>
      </c>
    </row>
    <row r="116" spans="1:48" x14ac:dyDescent="0.3">
      <c r="A116" s="3">
        <f t="shared" si="4"/>
        <v>1912</v>
      </c>
      <c r="B116" s="9">
        <v>5534.5951999999997</v>
      </c>
      <c r="C116" s="9">
        <v>2945.9814064416037</v>
      </c>
      <c r="D116" s="9">
        <v>268.23927254167802</v>
      </c>
      <c r="E116" s="9">
        <v>191.47543931884249</v>
      </c>
      <c r="F116" s="9">
        <v>8445.4309511500796</v>
      </c>
      <c r="G116" s="9">
        <v>7200.2070309263363</v>
      </c>
      <c r="H116" s="9">
        <v>144</v>
      </c>
      <c r="I116" s="9">
        <v>2922.7993295365995</v>
      </c>
      <c r="J116" s="9">
        <v>69.289055396163405</v>
      </c>
      <c r="K116" s="9">
        <v>95.95</v>
      </c>
      <c r="L116" s="9">
        <v>11976.921218794349</v>
      </c>
      <c r="M116" s="9">
        <v>157.49855970778816</v>
      </c>
      <c r="N116" s="9">
        <v>577.65022086659644</v>
      </c>
      <c r="O116" s="9">
        <v>12133.423278785813</v>
      </c>
      <c r="P116" s="9">
        <v>3606.837783064113</v>
      </c>
      <c r="Q116" s="9">
        <v>44.185812043742004</v>
      </c>
      <c r="R116" s="9">
        <v>13680.947240146494</v>
      </c>
      <c r="S116" s="9">
        <v>183.42695290822019</v>
      </c>
      <c r="T116" s="9">
        <v>4783.3363884850505</v>
      </c>
      <c r="U116" s="9">
        <v>238.0746138501064</v>
      </c>
      <c r="V116" s="9">
        <v>816.57823979135549</v>
      </c>
      <c r="W116" s="9">
        <v>3005.6717063126216</v>
      </c>
      <c r="X116" s="9">
        <v>325.08686338948519</v>
      </c>
      <c r="Y116" s="9">
        <v>775</v>
      </c>
      <c r="Z116" s="9">
        <v>864.60208573954833</v>
      </c>
      <c r="AA116" s="9">
        <v>549.499875727887</v>
      </c>
      <c r="AB116" s="9">
        <v>2521.7510719327738</v>
      </c>
      <c r="AC116" s="9">
        <v>1911.0573463545275</v>
      </c>
      <c r="AD116" s="9">
        <v>373.4</v>
      </c>
      <c r="AE116" s="9">
        <v>5369.9932736419432</v>
      </c>
      <c r="AF116" s="9">
        <v>3828.3492881598982</v>
      </c>
      <c r="AG116" s="9">
        <v>21337.483479647799</v>
      </c>
      <c r="AH116" s="9">
        <v>1503.6237807027951</v>
      </c>
      <c r="AI116" s="9">
        <v>173.89971153792854</v>
      </c>
      <c r="AJ116" s="9">
        <v>2857.8964509111911</v>
      </c>
      <c r="AK116" s="9">
        <v>3.5194494479041838</v>
      </c>
      <c r="AL116" s="9">
        <v>55.498510787648144</v>
      </c>
      <c r="AM116" s="9">
        <v>22.873219598253744</v>
      </c>
      <c r="AN116" s="9">
        <v>1195.7668935344832</v>
      </c>
      <c r="AO116" s="9">
        <v>6103</v>
      </c>
      <c r="AP116" s="9">
        <v>1291.7419294124757</v>
      </c>
      <c r="AQ116" s="11">
        <v>8.759276836743032</v>
      </c>
      <c r="AR116" s="9">
        <v>4335.4025036540179</v>
      </c>
      <c r="AS116" s="9">
        <v>125.73274756200813</v>
      </c>
      <c r="AT116" s="9">
        <v>1944.8321476174247</v>
      </c>
      <c r="AU116" s="9">
        <v>198.1</v>
      </c>
      <c r="AV116" s="9">
        <f t="shared" si="5"/>
        <v>136699.38960626427</v>
      </c>
    </row>
    <row r="117" spans="1:48" x14ac:dyDescent="0.3">
      <c r="A117" s="3">
        <f t="shared" si="4"/>
        <v>1913</v>
      </c>
      <c r="B117" s="9">
        <v>5602.2334000000001</v>
      </c>
      <c r="C117" s="9">
        <v>2934.1974808158375</v>
      </c>
      <c r="D117" s="9">
        <v>272.39795845404234</v>
      </c>
      <c r="E117" s="9">
        <v>194.44400616781249</v>
      </c>
      <c r="F117" s="9">
        <v>8395.6673495069244</v>
      </c>
      <c r="G117" s="9">
        <v>7185.8066168644837</v>
      </c>
      <c r="H117" s="9">
        <v>148</v>
      </c>
      <c r="I117" s="9">
        <v>2910.2041360734775</v>
      </c>
      <c r="J117" s="9">
        <v>71.443705969986638</v>
      </c>
      <c r="K117" s="9">
        <v>96.909500000000008</v>
      </c>
      <c r="L117" s="9">
        <v>12119.885765263927</v>
      </c>
      <c r="M117" s="9">
        <v>156.55356834954139</v>
      </c>
      <c r="N117" s="9">
        <v>578.80552130832962</v>
      </c>
      <c r="O117" s="9">
        <v>12206.223818458533</v>
      </c>
      <c r="P117" s="9">
        <v>3589.6585405041751</v>
      </c>
      <c r="Q117" s="9">
        <v>44.27418366782949</v>
      </c>
      <c r="R117" s="9">
        <v>13782.341708200838</v>
      </c>
      <c r="S117" s="9">
        <v>184.52751462566945</v>
      </c>
      <c r="T117" s="9">
        <v>4783.3363884850487</v>
      </c>
      <c r="U117" s="9">
        <v>241.76563766376586</v>
      </c>
      <c r="V117" s="9">
        <v>823.11086570968621</v>
      </c>
      <c r="W117" s="9">
        <v>3027.7791257284539</v>
      </c>
      <c r="X117" s="9">
        <v>327.03738456982194</v>
      </c>
      <c r="Y117" s="9">
        <v>775</v>
      </c>
      <c r="Z117" s="9">
        <v>866.3312899110274</v>
      </c>
      <c r="AA117" s="9">
        <v>552.79687498225451</v>
      </c>
      <c r="AB117" s="9">
        <v>2516.707569788909</v>
      </c>
      <c r="AC117" s="9">
        <v>1903.4131169691093</v>
      </c>
      <c r="AD117" s="9">
        <v>375.1</v>
      </c>
      <c r="AE117" s="9">
        <v>5434.4331929256468</v>
      </c>
      <c r="AF117" s="9">
        <v>3813.0358910072596</v>
      </c>
      <c r="AG117" s="9">
        <v>21533.570672858303</v>
      </c>
      <c r="AH117" s="9">
        <v>1497.6092855799836</v>
      </c>
      <c r="AI117" s="9">
        <v>173.79948087916526</v>
      </c>
      <c r="AJ117" s="9">
        <v>2846.4648651075458</v>
      </c>
      <c r="AK117" s="9">
        <v>3.5390069761008753</v>
      </c>
      <c r="AL117" s="9">
        <v>55.554009298435787</v>
      </c>
      <c r="AM117" s="9">
        <v>23.04776100396208</v>
      </c>
      <c r="AN117" s="9">
        <v>1202.9414948956903</v>
      </c>
      <c r="AO117" s="9">
        <v>6214</v>
      </c>
      <c r="AP117" s="9">
        <v>1311.7686350971305</v>
      </c>
      <c r="AQ117" s="11">
        <v>8.8035681364080425</v>
      </c>
      <c r="AR117" s="9">
        <v>4361.4149186759432</v>
      </c>
      <c r="AS117" s="9">
        <v>127.68206319000868</v>
      </c>
      <c r="AT117" s="9">
        <v>1960.7942366024906</v>
      </c>
      <c r="AU117" s="9">
        <v>199</v>
      </c>
      <c r="AV117" s="9">
        <f t="shared" si="5"/>
        <v>137433.41211027358</v>
      </c>
    </row>
    <row r="118" spans="1:48" x14ac:dyDescent="0.3">
      <c r="A118" s="3">
        <f t="shared" si="4"/>
        <v>1914</v>
      </c>
      <c r="B118" s="9">
        <v>5661.9205999999995</v>
      </c>
      <c r="C118" s="9">
        <v>2922.4606908925743</v>
      </c>
      <c r="D118" s="9">
        <v>276.62111914802171</v>
      </c>
      <c r="E118" s="9">
        <v>197.45859661734528</v>
      </c>
      <c r="F118" s="9">
        <v>8346.1969734034519</v>
      </c>
      <c r="G118" s="9">
        <v>7171.4350036307533</v>
      </c>
      <c r="H118" s="9">
        <v>150</v>
      </c>
      <c r="I118" s="9">
        <v>2897.6632189668508</v>
      </c>
      <c r="J118" s="9">
        <v>73.667347813842383</v>
      </c>
      <c r="K118" s="9">
        <v>97.878595000000004</v>
      </c>
      <c r="L118" s="9">
        <v>12264.556832230206</v>
      </c>
      <c r="M118" s="9">
        <v>155.61424693944412</v>
      </c>
      <c r="N118" s="9">
        <v>579.96313235094635</v>
      </c>
      <c r="O118" s="9">
        <v>12279.461161369287</v>
      </c>
      <c r="P118" s="9">
        <v>3572.5635300302615</v>
      </c>
      <c r="Q118" s="9">
        <v>44.362732035165159</v>
      </c>
      <c r="R118" s="9">
        <v>13884.49779727607</v>
      </c>
      <c r="S118" s="9">
        <v>185.63467971342342</v>
      </c>
      <c r="T118" s="9">
        <v>4783.3363884850478</v>
      </c>
      <c r="U118" s="9">
        <v>245.51388579283088</v>
      </c>
      <c r="V118" s="9">
        <v>829.69575263536342</v>
      </c>
      <c r="W118" s="9">
        <v>3050.0491503922913</v>
      </c>
      <c r="X118" s="9">
        <v>328.9996088772408</v>
      </c>
      <c r="Y118" s="9">
        <v>775</v>
      </c>
      <c r="Z118" s="9">
        <v>868.06395249084949</v>
      </c>
      <c r="AA118" s="9">
        <v>556.11365623214817</v>
      </c>
      <c r="AB118" s="9">
        <v>2511.6741546493313</v>
      </c>
      <c r="AC118" s="9">
        <v>1895.7994645012329</v>
      </c>
      <c r="AD118" s="9">
        <v>378.5</v>
      </c>
      <c r="AE118" s="9">
        <v>5499.6463912407544</v>
      </c>
      <c r="AF118" s="9">
        <v>3797.7837474432313</v>
      </c>
      <c r="AG118" s="9">
        <v>21731.459868042362</v>
      </c>
      <c r="AH118" s="9">
        <v>1491.6188484376632</v>
      </c>
      <c r="AI118" s="9">
        <v>173.69930799039406</v>
      </c>
      <c r="AJ118" s="9">
        <v>2835.079005647116</v>
      </c>
      <c r="AK118" s="9">
        <v>3.5586731851906515</v>
      </c>
      <c r="AL118" s="9">
        <v>55.60956330773422</v>
      </c>
      <c r="AM118" s="9">
        <v>23.223634303598846</v>
      </c>
      <c r="AN118" s="9">
        <v>1210.1591438650651</v>
      </c>
      <c r="AO118" s="9">
        <v>6325</v>
      </c>
      <c r="AP118" s="9">
        <v>1332.1058276766109</v>
      </c>
      <c r="AQ118" s="11">
        <v>8.8480833951124307</v>
      </c>
      <c r="AR118" s="9">
        <v>4387.5834081880002</v>
      </c>
      <c r="AS118" s="9">
        <v>129.66160031154411</v>
      </c>
      <c r="AT118" s="9">
        <v>1976.8873334408972</v>
      </c>
      <c r="AU118" s="9">
        <v>200.56653756676158</v>
      </c>
      <c r="AV118" s="9">
        <f t="shared" si="5"/>
        <v>138167.19324551601</v>
      </c>
    </row>
    <row r="119" spans="1:48" x14ac:dyDescent="0.3">
      <c r="A119" s="3">
        <f t="shared" si="4"/>
        <v>1915</v>
      </c>
      <c r="B119" s="9">
        <v>5699.8487999999998</v>
      </c>
      <c r="C119" s="9">
        <v>2910.7708481290042</v>
      </c>
      <c r="D119" s="9">
        <v>280.90975421761084</v>
      </c>
      <c r="E119" s="9">
        <v>200.51992420091233</v>
      </c>
      <c r="F119" s="9">
        <v>8297.0180950463673</v>
      </c>
      <c r="G119" s="9">
        <v>7157.0921336234915</v>
      </c>
      <c r="H119" s="9">
        <v>156</v>
      </c>
      <c r="I119" s="9">
        <v>2885.176344324093</v>
      </c>
      <c r="J119" s="9">
        <v>75.962255431478866</v>
      </c>
      <c r="K119" s="9">
        <v>98.857380950000007</v>
      </c>
      <c r="L119" s="9">
        <v>12410.954789863817</v>
      </c>
      <c r="M119" s="9">
        <v>154.68056145780744</v>
      </c>
      <c r="N119" s="9">
        <v>581.12305861564812</v>
      </c>
      <c r="O119" s="9">
        <v>12353.137928337504</v>
      </c>
      <c r="P119" s="9">
        <v>3555.5523266100054</v>
      </c>
      <c r="Q119" s="9">
        <v>44.451457499235474</v>
      </c>
      <c r="R119" s="9">
        <v>13987.421294260799</v>
      </c>
      <c r="S119" s="9">
        <v>186.74848779170389</v>
      </c>
      <c r="T119" s="9">
        <v>4783.3363884850469</v>
      </c>
      <c r="U119" s="9">
        <v>249.32024542265665</v>
      </c>
      <c r="V119" s="9">
        <v>836.33331865644618</v>
      </c>
      <c r="W119" s="9">
        <v>3072.4829763038197</v>
      </c>
      <c r="X119" s="9">
        <v>330.97360653050413</v>
      </c>
      <c r="Y119" s="9">
        <v>775</v>
      </c>
      <c r="Z119" s="9">
        <v>869.80008039583106</v>
      </c>
      <c r="AA119" s="9">
        <v>559.45033816954106</v>
      </c>
      <c r="AB119" s="9">
        <v>2506.6508063400333</v>
      </c>
      <c r="AC119" s="9">
        <v>1888.216266643228</v>
      </c>
      <c r="AD119" s="9">
        <v>380.7</v>
      </c>
      <c r="AE119" s="9">
        <v>5565.6421479356432</v>
      </c>
      <c r="AF119" s="9">
        <v>3782.5926124534594</v>
      </c>
      <c r="AG119" s="9">
        <v>21931.167625236671</v>
      </c>
      <c r="AH119" s="9">
        <v>1485.6523730439126</v>
      </c>
      <c r="AI119" s="9">
        <v>173.599192838318</v>
      </c>
      <c r="AJ119" s="9">
        <v>2823.738689624528</v>
      </c>
      <c r="AK119" s="9">
        <v>3.5784486791116175</v>
      </c>
      <c r="AL119" s="9">
        <v>55.665172871041946</v>
      </c>
      <c r="AM119" s="9">
        <v>23.40084966060595</v>
      </c>
      <c r="AN119" s="9">
        <v>1217.4200987282554</v>
      </c>
      <c r="AO119" s="9">
        <v>6436</v>
      </c>
      <c r="AP119" s="9">
        <v>1352.758320828882</v>
      </c>
      <c r="AQ119" s="11">
        <v>8.8928237453055026</v>
      </c>
      <c r="AR119" s="9">
        <v>4413.9089086371296</v>
      </c>
      <c r="AS119" s="9">
        <v>131.6718274698602</v>
      </c>
      <c r="AT119" s="9">
        <v>1993.1125133714588</v>
      </c>
      <c r="AU119" s="9">
        <v>202.14540699255872</v>
      </c>
      <c r="AV119" s="9">
        <f t="shared" si="5"/>
        <v>138889.43647942328</v>
      </c>
    </row>
    <row r="120" spans="1:48" x14ac:dyDescent="0.3">
      <c r="A120" s="3">
        <f t="shared" si="4"/>
        <v>1916</v>
      </c>
      <c r="B120" s="9">
        <v>5705.4309999999996</v>
      </c>
      <c r="C120" s="9">
        <v>2899.1277647364882</v>
      </c>
      <c r="D120" s="9">
        <v>285.26487875415307</v>
      </c>
      <c r="E120" s="9">
        <v>203.62871351435311</v>
      </c>
      <c r="F120" s="9">
        <v>8248.1289968231795</v>
      </c>
      <c r="G120" s="9">
        <v>7142.777949356243</v>
      </c>
      <c r="H120" s="9">
        <v>150</v>
      </c>
      <c r="I120" s="9">
        <v>2872.7432792604895</v>
      </c>
      <c r="J120" s="9">
        <v>78.330780402325644</v>
      </c>
      <c r="K120" s="9">
        <v>99.845954759500003</v>
      </c>
      <c r="L120" s="9">
        <v>12559.100251487378</v>
      </c>
      <c r="M120" s="9">
        <v>153.75247808906056</v>
      </c>
      <c r="N120" s="9">
        <v>582.28530473287935</v>
      </c>
      <c r="O120" s="9">
        <v>12427.256755907531</v>
      </c>
      <c r="P120" s="9">
        <v>3538.6245074148301</v>
      </c>
      <c r="Q120" s="9">
        <v>44.540360414233945</v>
      </c>
      <c r="R120" s="9">
        <v>14091.118030437556</v>
      </c>
      <c r="S120" s="9">
        <v>187.86897871845409</v>
      </c>
      <c r="T120" s="9">
        <v>4783.336388485046</v>
      </c>
      <c r="U120" s="9">
        <v>253.18561749320358</v>
      </c>
      <c r="V120" s="9">
        <v>843.02398520569773</v>
      </c>
      <c r="W120" s="9">
        <v>3095.0818082595824</v>
      </c>
      <c r="X120" s="9">
        <v>332.95944816968705</v>
      </c>
      <c r="Y120" s="9">
        <v>775</v>
      </c>
      <c r="Z120" s="9">
        <v>871.53968055662278</v>
      </c>
      <c r="AA120" s="9">
        <v>562.80704019855841</v>
      </c>
      <c r="AB120" s="9">
        <v>2501.6375047273532</v>
      </c>
      <c r="AC120" s="9">
        <v>1880.6634015766549</v>
      </c>
      <c r="AD120" s="9">
        <v>382.1</v>
      </c>
      <c r="AE120" s="9">
        <v>5632.4298537108707</v>
      </c>
      <c r="AF120" s="9">
        <v>3767.4622420036462</v>
      </c>
      <c r="AG120" s="9">
        <v>22132.710656661326</v>
      </c>
      <c r="AH120" s="9">
        <v>1479.7097635517362</v>
      </c>
      <c r="AI120" s="9">
        <v>173.49913538965939</v>
      </c>
      <c r="AJ120" s="9">
        <v>2812.4437348660294</v>
      </c>
      <c r="AK120" s="9">
        <v>3.5983340651579536</v>
      </c>
      <c r="AL120" s="9">
        <v>55.720838043912984</v>
      </c>
      <c r="AM120" s="9">
        <v>23.579417315980681</v>
      </c>
      <c r="AN120" s="9">
        <v>1224.7246193206249</v>
      </c>
      <c r="AO120" s="9">
        <v>6547</v>
      </c>
      <c r="AP120" s="9">
        <v>1373.7310028614529</v>
      </c>
      <c r="AQ120" s="11">
        <v>8.9377903251627835</v>
      </c>
      <c r="AR120" s="9">
        <v>4440.3923620889518</v>
      </c>
      <c r="AS120" s="9">
        <v>133.71322047233002</v>
      </c>
      <c r="AT120" s="9">
        <v>2009.4708604579457</v>
      </c>
      <c r="AU120" s="9">
        <v>203.73670535437856</v>
      </c>
      <c r="AV120" s="9">
        <f t="shared" si="5"/>
        <v>139574.02139597028</v>
      </c>
    </row>
    <row r="121" spans="1:48" x14ac:dyDescent="0.3">
      <c r="A121" s="3">
        <f t="shared" si="4"/>
        <v>1917</v>
      </c>
      <c r="B121" s="9">
        <v>5727.5853999999999</v>
      </c>
      <c r="C121" s="9">
        <v>2887.5312536775418</v>
      </c>
      <c r="D121" s="9">
        <v>289.68752358660532</v>
      </c>
      <c r="E121" s="9">
        <v>206.78570038738249</v>
      </c>
      <c r="F121" s="9">
        <v>8199.5279712421961</v>
      </c>
      <c r="G121" s="9">
        <v>7128.4923934575309</v>
      </c>
      <c r="H121" s="9">
        <v>153.22692605687857</v>
      </c>
      <c r="I121" s="9">
        <v>2860.3637918948934</v>
      </c>
      <c r="J121" s="9">
        <v>80.775354058179644</v>
      </c>
      <c r="K121" s="9">
        <v>100.84441430709501</v>
      </c>
      <c r="L121" s="9">
        <v>12718</v>
      </c>
      <c r="M121" s="9">
        <v>152.82996322052617</v>
      </c>
      <c r="N121" s="9">
        <v>583.44987534234519</v>
      </c>
      <c r="O121" s="9">
        <v>12501.82029644298</v>
      </c>
      <c r="P121" s="9">
        <v>3521.7796518082419</v>
      </c>
      <c r="Q121" s="9">
        <v>44.629441135062422</v>
      </c>
      <c r="R121" s="9">
        <v>14195.593881826055</v>
      </c>
      <c r="S121" s="9">
        <v>188.99619259076476</v>
      </c>
      <c r="T121" s="9">
        <v>4783.3363884850451</v>
      </c>
      <c r="U121" s="9">
        <v>257.11091691228347</v>
      </c>
      <c r="V121" s="9">
        <v>849.76817708734313</v>
      </c>
      <c r="W121" s="9">
        <v>3117.8468599176863</v>
      </c>
      <c r="X121" s="9">
        <v>334.9572048587051</v>
      </c>
      <c r="Y121" s="9">
        <v>775</v>
      </c>
      <c r="Z121" s="9">
        <v>873.28275991773603</v>
      </c>
      <c r="AA121" s="9">
        <v>566.18388243975005</v>
      </c>
      <c r="AB121" s="9">
        <v>2496.634229717899</v>
      </c>
      <c r="AC121" s="9">
        <v>1873.1407479703485</v>
      </c>
      <c r="AD121" s="9">
        <v>384.1</v>
      </c>
      <c r="AE121" s="9">
        <v>5700.0190119554009</v>
      </c>
      <c r="AF121" s="9">
        <v>3752.3923930356332</v>
      </c>
      <c r="AG121" s="9">
        <v>22336.105828118372</v>
      </c>
      <c r="AH121" s="9">
        <v>1473.7909244975292</v>
      </c>
      <c r="AI121" s="9">
        <v>173.39913561115964</v>
      </c>
      <c r="AJ121" s="9">
        <v>2801.1939599265652</v>
      </c>
      <c r="AK121" s="9">
        <v>3.6183299539985647</v>
      </c>
      <c r="AL121" s="9">
        <v>55.776558881956888</v>
      </c>
      <c r="AM121" s="9">
        <v>23.759347588867534</v>
      </c>
      <c r="AN121" s="9">
        <v>1232.0729670365492</v>
      </c>
      <c r="AO121" s="9">
        <v>6658</v>
      </c>
      <c r="AP121" s="9">
        <v>1395.0288378684077</v>
      </c>
      <c r="AQ121" s="11">
        <v>8.982984278614996</v>
      </c>
      <c r="AR121" s="9">
        <v>4467.0347162614871</v>
      </c>
      <c r="AS121" s="9">
        <v>135.78626250307425</v>
      </c>
      <c r="AT121" s="9">
        <v>2025.9634676615142</v>
      </c>
      <c r="AU121" s="9">
        <v>205.34053049340301</v>
      </c>
      <c r="AV121" s="9">
        <f t="shared" si="5"/>
        <v>140301.54645401365</v>
      </c>
    </row>
    <row r="122" spans="1:48" x14ac:dyDescent="0.3">
      <c r="A122" s="3">
        <f t="shared" si="4"/>
        <v>1918</v>
      </c>
      <c r="B122" s="9">
        <v>5740.3188</v>
      </c>
      <c r="C122" s="9">
        <v>2875.9811286628319</v>
      </c>
      <c r="D122" s="9">
        <v>294.17873552552879</v>
      </c>
      <c r="E122" s="9">
        <v>209.99163205775636</v>
      </c>
      <c r="F122" s="9">
        <v>8151.2133208729047</v>
      </c>
      <c r="G122" s="9">
        <v>7114.2354086706146</v>
      </c>
      <c r="H122" s="9">
        <v>156.5232724589342</v>
      </c>
      <c r="I122" s="9">
        <v>2848.037651345403</v>
      </c>
      <c r="J122" s="9">
        <v>83.298490254804094</v>
      </c>
      <c r="K122" s="9">
        <v>101.85285845016595</v>
      </c>
      <c r="L122" s="9">
        <v>12856.210518004524</v>
      </c>
      <c r="M122" s="9">
        <v>151.91298344120295</v>
      </c>
      <c r="N122" s="9">
        <v>584.6167750930299</v>
      </c>
      <c r="O122" s="9">
        <v>12576.83121822164</v>
      </c>
      <c r="P122" s="9">
        <v>3505.0173413341759</v>
      </c>
      <c r="Q122" s="9">
        <v>44.718700017332544</v>
      </c>
      <c r="R122" s="9">
        <v>14300.854769529147</v>
      </c>
      <c r="S122" s="9">
        <v>190.13016974630932</v>
      </c>
      <c r="T122" s="9">
        <v>4783.3363884850442</v>
      </c>
      <c r="U122" s="9">
        <v>261.0970727721122</v>
      </c>
      <c r="V122" s="9">
        <v>856.56632250404186</v>
      </c>
      <c r="W122" s="9">
        <v>3140.7793538629735</v>
      </c>
      <c r="X122" s="9">
        <v>336.9669480878573</v>
      </c>
      <c r="Y122" s="9">
        <v>775</v>
      </c>
      <c r="Z122" s="9">
        <v>875.02932543757163</v>
      </c>
      <c r="AA122" s="9">
        <v>569.58098573438861</v>
      </c>
      <c r="AB122" s="9">
        <v>2491.640961258463</v>
      </c>
      <c r="AC122" s="9">
        <v>1865.6481849784673</v>
      </c>
      <c r="AD122" s="9">
        <v>385.3</v>
      </c>
      <c r="AE122" s="9">
        <v>5768.4192400988659</v>
      </c>
      <c r="AF122" s="9">
        <v>3737.3828234634911</v>
      </c>
      <c r="AG122" s="9">
        <v>22541.370160403203</v>
      </c>
      <c r="AH122" s="9">
        <v>1467.8957607995385</v>
      </c>
      <c r="AI122" s="9">
        <v>173.29919346957939</v>
      </c>
      <c r="AJ122" s="9">
        <v>2789.9891840868595</v>
      </c>
      <c r="AK122" s="9">
        <v>3.6384369596958339</v>
      </c>
      <c r="AL122" s="9">
        <v>55.83233544083884</v>
      </c>
      <c r="AM122" s="9">
        <v>23.940650877154525</v>
      </c>
      <c r="AN122" s="9">
        <v>1239.4654048387688</v>
      </c>
      <c r="AO122" s="9">
        <v>6769</v>
      </c>
      <c r="AP122" s="9">
        <v>1416.6568669053711</v>
      </c>
      <c r="AQ122" s="11">
        <v>9.0284067553771479</v>
      </c>
      <c r="AR122" s="9">
        <v>4493.8369245590575</v>
      </c>
      <c r="AS122" s="9">
        <v>137.89144423732762</v>
      </c>
      <c r="AT122" s="9">
        <v>2042.5914369137313</v>
      </c>
      <c r="AU122" s="9">
        <v>206.95698102102443</v>
      </c>
      <c r="AV122" s="9">
        <f t="shared" si="5"/>
        <v>141004.06456763711</v>
      </c>
    </row>
    <row r="123" spans="1:48" x14ac:dyDescent="0.3">
      <c r="A123" s="3">
        <f t="shared" si="4"/>
        <v>1919</v>
      </c>
      <c r="B123" s="9">
        <v>5722.5902000000006</v>
      </c>
      <c r="C123" s="9">
        <v>2864.4772041481806</v>
      </c>
      <c r="D123" s="9">
        <v>298.7395776108616</v>
      </c>
      <c r="E123" s="9">
        <v>213.247267348138</v>
      </c>
      <c r="F123" s="9">
        <v>8103.1833582866775</v>
      </c>
      <c r="G123" s="9">
        <v>7100.0069378532726</v>
      </c>
      <c r="H123" s="9">
        <v>160</v>
      </c>
      <c r="I123" s="9">
        <v>2835.7646277250515</v>
      </c>
      <c r="J123" s="9">
        <v>85.902788241863675</v>
      </c>
      <c r="K123" s="9">
        <v>102.87138703466762</v>
      </c>
      <c r="L123" s="9">
        <v>12995.923013307922</v>
      </c>
      <c r="M123" s="9">
        <v>151.00150554055571</v>
      </c>
      <c r="N123" s="9">
        <v>585.78600864321584</v>
      </c>
      <c r="O123" s="9">
        <v>12652.292205530972</v>
      </c>
      <c r="P123" s="9">
        <v>3488.337159705417</v>
      </c>
      <c r="Q123" s="9">
        <v>44.808137417367199</v>
      </c>
      <c r="R123" s="9">
        <v>14406.906660081444</v>
      </c>
      <c r="S123" s="9">
        <v>191.27095076478713</v>
      </c>
      <c r="T123" s="9">
        <v>4783.3363884850432</v>
      </c>
      <c r="U123" s="9">
        <v>265.14502856921956</v>
      </c>
      <c r="V123" s="9">
        <v>863.41885308407393</v>
      </c>
      <c r="W123" s="9">
        <v>3163.880521672686</v>
      </c>
      <c r="X123" s="9">
        <v>338.98874977638434</v>
      </c>
      <c r="Y123" s="9">
        <v>775</v>
      </c>
      <c r="Z123" s="9">
        <v>876.77938408844659</v>
      </c>
      <c r="AA123" s="9">
        <v>572.99847164879498</v>
      </c>
      <c r="AB123" s="9">
        <v>2486.6576793359468</v>
      </c>
      <c r="AC123" s="9">
        <v>1858.1855922385532</v>
      </c>
      <c r="AD123" s="9">
        <v>380.3</v>
      </c>
      <c r="AE123" s="9">
        <v>5837.6402709800523</v>
      </c>
      <c r="AF123" s="9">
        <v>3722.4332921696387</v>
      </c>
      <c r="AG123" s="9">
        <v>22748.520830728889</v>
      </c>
      <c r="AH123" s="9">
        <v>1462.0241777563404</v>
      </c>
      <c r="AI123" s="9">
        <v>173.19930893169843</v>
      </c>
      <c r="AJ123" s="9">
        <v>2778.8292273505122</v>
      </c>
      <c r="AK123" s="9">
        <v>3.6586556997244801</v>
      </c>
      <c r="AL123" s="9">
        <v>55.888167776279673</v>
      </c>
      <c r="AM123" s="9">
        <v>24.123337658074078</v>
      </c>
      <c r="AN123" s="9">
        <v>1246.9021972678015</v>
      </c>
      <c r="AO123" s="9">
        <v>6727</v>
      </c>
      <c r="AP123" s="9">
        <v>1438.6202091826963</v>
      </c>
      <c r="AQ123" s="11">
        <v>9.0740589109777812</v>
      </c>
      <c r="AR123" s="9">
        <v>4520.7999461064128</v>
      </c>
      <c r="AS123" s="9">
        <v>140.02926395757848</v>
      </c>
      <c r="AT123" s="9">
        <v>2059.3558791901987</v>
      </c>
      <c r="AU123" s="9">
        <v>208.58615632490884</v>
      </c>
      <c r="AV123" s="9">
        <f t="shared" si="5"/>
        <v>141524.48463813134</v>
      </c>
    </row>
    <row r="124" spans="1:48" x14ac:dyDescent="0.3">
      <c r="A124" s="3">
        <f t="shared" si="4"/>
        <v>1920</v>
      </c>
      <c r="B124" s="9">
        <v>5742.7446</v>
      </c>
      <c r="C124" s="9">
        <v>2853.0192953315918</v>
      </c>
      <c r="D124" s="9">
        <v>303.37112936353384</v>
      </c>
      <c r="E124" s="9">
        <v>216.5533768457062</v>
      </c>
      <c r="F124" s="9">
        <v>8055.4364059978398</v>
      </c>
      <c r="G124" s="9">
        <v>7085.8069239775705</v>
      </c>
      <c r="H124" s="9">
        <v>160</v>
      </c>
      <c r="I124" s="9">
        <v>2823.5444921375201</v>
      </c>
      <c r="J124" s="9">
        <v>89.03</v>
      </c>
      <c r="K124" s="9">
        <v>103.9001009050143</v>
      </c>
      <c r="L124" s="9">
        <v>13137.153808371311</v>
      </c>
      <c r="M124" s="9">
        <v>150.09549650731248</v>
      </c>
      <c r="N124" s="9">
        <v>586.957580660502</v>
      </c>
      <c r="O124" s="9">
        <v>12728.20595876414</v>
      </c>
      <c r="P124" s="9">
        <v>3471.7386927920697</v>
      </c>
      <c r="Q124" s="9">
        <v>44.897753692201917</v>
      </c>
      <c r="R124" s="9">
        <v>14513.755565800684</v>
      </c>
      <c r="S124" s="9">
        <v>192.41857646937621</v>
      </c>
      <c r="T124" s="9">
        <v>4783.3363884850514</v>
      </c>
      <c r="U124" s="9">
        <v>269.25574242776855</v>
      </c>
      <c r="V124" s="9">
        <v>870.32620390874695</v>
      </c>
      <c r="W124" s="9">
        <v>3187.1516039826097</v>
      </c>
      <c r="X124" s="9">
        <v>341.02268227504271</v>
      </c>
      <c r="Y124" s="9">
        <v>775</v>
      </c>
      <c r="Z124" s="9">
        <v>878.5329428566248</v>
      </c>
      <c r="AA124" s="9">
        <v>576.43646247868912</v>
      </c>
      <c r="AB124" s="9">
        <v>2481.6843639772769</v>
      </c>
      <c r="AC124" s="9">
        <v>1850.7528498696017</v>
      </c>
      <c r="AD124" s="9">
        <v>375.5</v>
      </c>
      <c r="AE124" s="9">
        <v>5907.6919542318128</v>
      </c>
      <c r="AF124" s="9">
        <v>3707.5435590009574</v>
      </c>
      <c r="AG124" s="9">
        <v>22957.57517416374</v>
      </c>
      <c r="AH124" s="9">
        <v>1456.1760810453154</v>
      </c>
      <c r="AI124" s="9">
        <v>173.09948196431569</v>
      </c>
      <c r="AJ124" s="9">
        <v>2767.7139104411117</v>
      </c>
      <c r="AK124" s="9">
        <v>3.6789867949905193</v>
      </c>
      <c r="AL124" s="9">
        <v>55.944055944055947</v>
      </c>
      <c r="AM124" s="9">
        <v>24.307418488808484</v>
      </c>
      <c r="AN124" s="9">
        <v>1254.3836104514073</v>
      </c>
      <c r="AO124" s="9">
        <v>6838</v>
      </c>
      <c r="AP124" s="9">
        <v>1460.9240632771441</v>
      </c>
      <c r="AQ124" s="11">
        <v>9.1199419067883696</v>
      </c>
      <c r="AR124" s="9">
        <v>4547.9247457830488</v>
      </c>
      <c r="AS124" s="9">
        <v>142.20022767150923</v>
      </c>
      <c r="AT124" s="9">
        <v>2076.2579145847817</v>
      </c>
      <c r="AU124" s="9">
        <v>210.22815657510668</v>
      </c>
      <c r="AV124" s="9">
        <f t="shared" si="5"/>
        <v>142240.39828020264</v>
      </c>
    </row>
    <row r="125" spans="1:48" x14ac:dyDescent="0.3">
      <c r="A125" s="3">
        <f t="shared" si="4"/>
        <v>1921</v>
      </c>
      <c r="B125" s="9">
        <v>5804.2749999999996</v>
      </c>
      <c r="C125" s="9">
        <v>2895.8145847615647</v>
      </c>
      <c r="D125" s="9">
        <v>309.74698329393118</v>
      </c>
      <c r="E125" s="9">
        <v>221.10460985788905</v>
      </c>
      <c r="F125" s="9">
        <v>8161.9135296805289</v>
      </c>
      <c r="G125" s="9">
        <v>7206.2656416851896</v>
      </c>
      <c r="H125" s="9">
        <v>149.78294434115583</v>
      </c>
      <c r="I125" s="9">
        <v>2861.0716787042315</v>
      </c>
      <c r="J125" s="9">
        <v>91.635386307099907</v>
      </c>
      <c r="K125" s="9">
        <v>104.93910191406444</v>
      </c>
      <c r="L125" s="9">
        <v>13279.919403037147</v>
      </c>
      <c r="M125" s="9">
        <v>152.04673796190755</v>
      </c>
      <c r="N125" s="9">
        <v>592.82715646710699</v>
      </c>
      <c r="O125" s="9">
        <v>12855.488018351782</v>
      </c>
      <c r="P125" s="9">
        <v>3517.9091752628574</v>
      </c>
      <c r="Q125" s="9">
        <v>45.346731229123918</v>
      </c>
      <c r="R125" s="9">
        <v>14724.847398807329</v>
      </c>
      <c r="S125" s="9">
        <v>195.3048551164168</v>
      </c>
      <c r="T125" s="9">
        <v>4855.0864343123249</v>
      </c>
      <c r="U125" s="9">
        <v>274.91460418973583</v>
      </c>
      <c r="V125" s="9">
        <v>883.38109696737808</v>
      </c>
      <c r="W125" s="9">
        <v>3234.9588780423474</v>
      </c>
      <c r="X125" s="9">
        <v>346.13802250916831</v>
      </c>
      <c r="Y125" s="9">
        <v>775</v>
      </c>
      <c r="Z125" s="9">
        <v>887.31827228519137</v>
      </c>
      <c r="AA125" s="9">
        <v>585.08300941586924</v>
      </c>
      <c r="AB125" s="9">
        <v>2518.9096294369356</v>
      </c>
      <c r="AC125" s="9">
        <v>1878.5141426176449</v>
      </c>
      <c r="AD125" s="9">
        <v>377.5</v>
      </c>
      <c r="AE125" s="9">
        <v>5978.5842576825944</v>
      </c>
      <c r="AF125" s="9">
        <v>3763.1567123859709</v>
      </c>
      <c r="AG125" s="9">
        <v>23323.535234931514</v>
      </c>
      <c r="AH125" s="9">
        <v>1478.0187222609948</v>
      </c>
      <c r="AI125" s="9">
        <v>173</v>
      </c>
      <c r="AJ125" s="9">
        <v>2809.2296190977277</v>
      </c>
      <c r="AK125" s="9">
        <v>3.7</v>
      </c>
      <c r="AL125" s="9">
        <v>56</v>
      </c>
      <c r="AM125" s="9">
        <v>24.5</v>
      </c>
      <c r="AN125" s="9">
        <v>1273.1993646081783</v>
      </c>
      <c r="AO125" s="9">
        <v>6957</v>
      </c>
      <c r="AP125" s="9">
        <v>1491.6278367390412</v>
      </c>
      <c r="AQ125" s="11">
        <v>9.220973555743015</v>
      </c>
      <c r="AR125" s="9">
        <v>4584.3081437493129</v>
      </c>
      <c r="AS125" s="9">
        <v>145.18880434459254</v>
      </c>
      <c r="AT125" s="9">
        <v>2094</v>
      </c>
      <c r="AU125" s="9">
        <v>209</v>
      </c>
      <c r="AV125" s="9">
        <f t="shared" si="5"/>
        <v>144160.31269591159</v>
      </c>
    </row>
    <row r="126" spans="1:48" x14ac:dyDescent="0.3">
      <c r="A126" s="3">
        <f t="shared" si="4"/>
        <v>1922</v>
      </c>
      <c r="B126" s="9">
        <v>5794.7687999999998</v>
      </c>
      <c r="C126" s="9">
        <v>2939.2518035329867</v>
      </c>
      <c r="D126" s="9">
        <v>316.25683650575991</v>
      </c>
      <c r="E126" s="9">
        <v>225.75149467764419</v>
      </c>
      <c r="F126" s="9">
        <v>8269.7980728121875</v>
      </c>
      <c r="G126" s="9">
        <v>7328.7721575938376</v>
      </c>
      <c r="H126" s="9">
        <v>140.81692176579884</v>
      </c>
      <c r="I126" s="9">
        <v>2899.0976318869939</v>
      </c>
      <c r="J126" s="9">
        <v>94.318932201636585</v>
      </c>
      <c r="K126" s="9">
        <v>105.98849293320508</v>
      </c>
      <c r="L126" s="9">
        <v>13424.236476456874</v>
      </c>
      <c r="M126" s="9">
        <v>154.02334555541239</v>
      </c>
      <c r="N126" s="9">
        <v>598.75542803177791</v>
      </c>
      <c r="O126" s="9">
        <v>12984.042898535297</v>
      </c>
      <c r="P126" s="9">
        <v>3564.6954421977325</v>
      </c>
      <c r="Q126" s="9">
        <v>45.800198541415142</v>
      </c>
      <c r="R126" s="9">
        <v>14939.029734313752</v>
      </c>
      <c r="S126" s="9">
        <v>198.23442794316307</v>
      </c>
      <c r="T126" s="9">
        <v>4927.9127308270081</v>
      </c>
      <c r="U126" s="9">
        <v>280.69239643820754</v>
      </c>
      <c r="V126" s="9">
        <v>896.63181342188852</v>
      </c>
      <c r="W126" s="9">
        <v>3283.4832612129817</v>
      </c>
      <c r="X126" s="9">
        <v>351.33009284680583</v>
      </c>
      <c r="Y126" s="9">
        <v>761.96234598684759</v>
      </c>
      <c r="Z126" s="9">
        <v>896.19145500804348</v>
      </c>
      <c r="AA126" s="9">
        <v>593.85925455710708</v>
      </c>
      <c r="AB126" s="9">
        <v>2556.693273878489</v>
      </c>
      <c r="AC126" s="9">
        <v>1906.6918547569089</v>
      </c>
      <c r="AD126" s="9">
        <v>378.57499999999999</v>
      </c>
      <c r="AE126" s="9">
        <v>6050.3272687747858</v>
      </c>
      <c r="AF126" s="9">
        <v>3819.6040630717603</v>
      </c>
      <c r="AG126" s="9">
        <v>23695.328959100632</v>
      </c>
      <c r="AH126" s="9">
        <v>1500.1890030949098</v>
      </c>
      <c r="AI126" s="9">
        <v>175.69246897354554</v>
      </c>
      <c r="AJ126" s="9">
        <v>2851.3680633841932</v>
      </c>
      <c r="AK126" s="9">
        <v>3.7468981310864833</v>
      </c>
      <c r="AL126" s="9">
        <v>56.321966733605777</v>
      </c>
      <c r="AM126" s="9">
        <v>24.774081244816191</v>
      </c>
      <c r="AN126" s="9">
        <v>1292.2973550773006</v>
      </c>
      <c r="AO126" s="9">
        <v>7128</v>
      </c>
      <c r="AP126" s="9">
        <v>1522.9769015808915</v>
      </c>
      <c r="AQ126" s="11">
        <v>9.3231244436352441</v>
      </c>
      <c r="AR126" s="9">
        <v>4620.9826088993068</v>
      </c>
      <c r="AS126" s="9">
        <v>148.24019097710521</v>
      </c>
      <c r="AT126" s="9">
        <v>2114.6808666271895</v>
      </c>
      <c r="AU126" s="9">
        <v>210.64525804750335</v>
      </c>
      <c r="AV126" s="9">
        <f t="shared" si="5"/>
        <v>146082.16165258203</v>
      </c>
    </row>
    <row r="127" spans="1:48" x14ac:dyDescent="0.3">
      <c r="A127" s="3">
        <f t="shared" si="4"/>
        <v>1923</v>
      </c>
      <c r="B127" s="9">
        <v>5804.4446000000007</v>
      </c>
      <c r="C127" s="9">
        <v>2983.3405805859807</v>
      </c>
      <c r="D127" s="9">
        <v>322.90350521903088</v>
      </c>
      <c r="E127" s="9">
        <v>230.49604158839765</v>
      </c>
      <c r="F127" s="9">
        <v>8379.1086387269097</v>
      </c>
      <c r="G127" s="9">
        <v>7453.3612842729344</v>
      </c>
      <c r="H127" s="9">
        <v>142.22509098345682</v>
      </c>
      <c r="I127" s="9">
        <v>2937.6289806969335</v>
      </c>
      <c r="J127" s="9">
        <v>97.083040743966066</v>
      </c>
      <c r="K127" s="9">
        <v>107.04837786253714</v>
      </c>
      <c r="L127" s="9">
        <v>13570.121889039538</v>
      </c>
      <c r="M127" s="9">
        <v>156.02564904763275</v>
      </c>
      <c r="N127" s="9">
        <v>604.74298231209582</v>
      </c>
      <c r="O127" s="9">
        <v>13113.883327520653</v>
      </c>
      <c r="P127" s="9">
        <v>3612.1057323176078</v>
      </c>
      <c r="Q127" s="9">
        <v>46.258200526829292</v>
      </c>
      <c r="R127" s="9">
        <v>15156.348129552096</v>
      </c>
      <c r="S127" s="9">
        <v>201.20794436231049</v>
      </c>
      <c r="T127" s="9">
        <v>5001.8314217894113</v>
      </c>
      <c r="U127" s="9">
        <v>286.59161869715439</v>
      </c>
      <c r="V127" s="9">
        <v>910.08129062321677</v>
      </c>
      <c r="W127" s="9">
        <v>3332.735510131175</v>
      </c>
      <c r="X127" s="9">
        <v>356.60004423950784</v>
      </c>
      <c r="Y127" s="9">
        <v>749.14402155068444</v>
      </c>
      <c r="Z127" s="9">
        <v>905.15336955812404</v>
      </c>
      <c r="AA127" s="9">
        <v>602.76714337546343</v>
      </c>
      <c r="AB127" s="9">
        <v>2595.043672986666</v>
      </c>
      <c r="AC127" s="9">
        <v>1935.2922325782617</v>
      </c>
      <c r="AD127" s="9">
        <v>379.65</v>
      </c>
      <c r="AE127" s="9">
        <v>6122.9311960000832</v>
      </c>
      <c r="AF127" s="9">
        <v>3876.8981240178359</v>
      </c>
      <c r="AG127" s="9">
        <v>24073.049339410823</v>
      </c>
      <c r="AH127" s="9">
        <v>1522.6918381413332</v>
      </c>
      <c r="AI127" s="9">
        <v>178.42684193075297</v>
      </c>
      <c r="AJ127" s="9">
        <v>2894.1385843349549</v>
      </c>
      <c r="AK127" s="9">
        <v>3.7943907039836162</v>
      </c>
      <c r="AL127" s="9">
        <v>56.64578458466778</v>
      </c>
      <c r="AM127" s="9">
        <v>25.051228633663403</v>
      </c>
      <c r="AN127" s="9">
        <v>1311.6818154034597</v>
      </c>
      <c r="AO127" s="9">
        <v>7310</v>
      </c>
      <c r="AP127" s="9">
        <v>1554.9848196850994</v>
      </c>
      <c r="AQ127" s="11">
        <v>9.4264069695084416</v>
      </c>
      <c r="AR127" s="9">
        <v>4657.9504697705006</v>
      </c>
      <c r="AS127" s="9">
        <v>151.35570762586198</v>
      </c>
      <c r="AT127" s="9">
        <v>2135.5659826547858</v>
      </c>
      <c r="AU127" s="9">
        <v>212.30346764545109</v>
      </c>
      <c r="AV127" s="9">
        <f t="shared" si="5"/>
        <v>148070.12031840131</v>
      </c>
    </row>
    <row r="128" spans="1:48" x14ac:dyDescent="0.3">
      <c r="A128" s="3">
        <f t="shared" si="4"/>
        <v>1924</v>
      </c>
      <c r="B128" s="9">
        <v>5841.4243999999999</v>
      </c>
      <c r="C128" s="9">
        <v>3028.0906892947696</v>
      </c>
      <c r="D128" s="9">
        <v>329.68986484134933</v>
      </c>
      <c r="E128" s="9">
        <v>235.3403031230585</v>
      </c>
      <c r="F128" s="9">
        <v>8489.8640766585067</v>
      </c>
      <c r="G128" s="9">
        <v>7580.0684261055758</v>
      </c>
      <c r="H128" s="9">
        <v>143.64734189329138</v>
      </c>
      <c r="I128" s="9">
        <v>2976.6724422500879</v>
      </c>
      <c r="J128" s="9">
        <v>99.930190611035783</v>
      </c>
      <c r="K128" s="9">
        <v>108.11886164116251</v>
      </c>
      <c r="L128" s="9">
        <v>13717.592684421568</v>
      </c>
      <c r="M128" s="9">
        <v>158.05398248525199</v>
      </c>
      <c r="N128" s="9">
        <v>610.7904121352168</v>
      </c>
      <c r="O128" s="9">
        <v>13245.022160795857</v>
      </c>
      <c r="P128" s="9">
        <v>3660.148394949611</v>
      </c>
      <c r="Q128" s="9">
        <v>46.720782532097566</v>
      </c>
      <c r="R128" s="9">
        <v>15376.848818070161</v>
      </c>
      <c r="S128" s="9">
        <v>204.22606352774511</v>
      </c>
      <c r="T128" s="9">
        <v>5076.8588931162512</v>
      </c>
      <c r="U128" s="9">
        <v>292.61482302224204</v>
      </c>
      <c r="V128" s="9">
        <v>923.73250998256481</v>
      </c>
      <c r="W128" s="9">
        <v>3382.7265427831417</v>
      </c>
      <c r="X128" s="9">
        <v>361.9490449031004</v>
      </c>
      <c r="Y128" s="9">
        <v>736.54133695842711</v>
      </c>
      <c r="Z128" s="9">
        <v>914.20490325370554</v>
      </c>
      <c r="AA128" s="9">
        <v>611.80865052609522</v>
      </c>
      <c r="AB128" s="9">
        <v>2633.9693280814658</v>
      </c>
      <c r="AC128" s="9">
        <v>1964.3216160669353</v>
      </c>
      <c r="AD128" s="9">
        <v>384.7</v>
      </c>
      <c r="AE128" s="9">
        <v>6196.4063703520842</v>
      </c>
      <c r="AF128" s="9">
        <v>3935.0515958781029</v>
      </c>
      <c r="AG128" s="9">
        <v>24456.790850972149</v>
      </c>
      <c r="AH128" s="9">
        <v>1545.5322157134528</v>
      </c>
      <c r="AI128" s="9">
        <v>181.20377104026898</v>
      </c>
      <c r="AJ128" s="9">
        <v>2937.550663099978</v>
      </c>
      <c r="AK128" s="9">
        <v>3.8424852533427396</v>
      </c>
      <c r="AL128" s="9">
        <v>56.971464196011745</v>
      </c>
      <c r="AM128" s="9">
        <v>25.331476467462974</v>
      </c>
      <c r="AN128" s="9">
        <v>1331.3570426345116</v>
      </c>
      <c r="AO128" s="9">
        <v>7489</v>
      </c>
      <c r="AP128" s="9">
        <v>1587.6654379598103</v>
      </c>
      <c r="AQ128" s="11">
        <v>9.5308336697638669</v>
      </c>
      <c r="AR128" s="9">
        <v>4695.2140735286621</v>
      </c>
      <c r="AS128" s="9">
        <v>154.53670209088909</v>
      </c>
      <c r="AT128" s="9">
        <v>2156.657365300844</v>
      </c>
      <c r="AU128" s="9">
        <v>217</v>
      </c>
      <c r="AV128" s="9">
        <f t="shared" si="5"/>
        <v>150115.31989218763</v>
      </c>
    </row>
    <row r="129" spans="1:48" x14ac:dyDescent="0.3">
      <c r="A129" s="3">
        <f t="shared" si="4"/>
        <v>1925</v>
      </c>
      <c r="B129" s="9">
        <v>5888.4072000000006</v>
      </c>
      <c r="C129" s="9">
        <v>3073.5120496341897</v>
      </c>
      <c r="D129" s="9">
        <v>336.61885121184184</v>
      </c>
      <c r="E129" s="9">
        <v>240.28637495196347</v>
      </c>
      <c r="F129" s="9">
        <v>8602.0834849908115</v>
      </c>
      <c r="G129" s="9">
        <v>7708.92958934937</v>
      </c>
      <c r="H129" s="9">
        <v>145.08381531222429</v>
      </c>
      <c r="I129" s="9">
        <v>3016.2348229383915</v>
      </c>
      <c r="J129" s="9">
        <v>102.86293852604055</v>
      </c>
      <c r="K129" s="9">
        <v>109.20005025757413</v>
      </c>
      <c r="L129" s="9">
        <v>13866.66609145797</v>
      </c>
      <c r="M129" s="9">
        <v>160.10868425756033</v>
      </c>
      <c r="N129" s="9">
        <v>616.89831625656905</v>
      </c>
      <c r="O129" s="9">
        <v>13377.472382403819</v>
      </c>
      <c r="P129" s="9">
        <v>3708.8318915175091</v>
      </c>
      <c r="Q129" s="9">
        <v>47.187990357418535</v>
      </c>
      <c r="R129" s="9">
        <v>15600.57871984449</v>
      </c>
      <c r="S129" s="9">
        <v>207.28945448066125</v>
      </c>
      <c r="T129" s="9">
        <v>5153.0117765129935</v>
      </c>
      <c r="U129" s="9">
        <v>298.76461510487371</v>
      </c>
      <c r="V129" s="9">
        <v>937.58849763230319</v>
      </c>
      <c r="W129" s="9">
        <v>3433.4674409248873</v>
      </c>
      <c r="X129" s="9">
        <v>367.37828057664677</v>
      </c>
      <c r="Y129" s="9">
        <v>724.15066454855787</v>
      </c>
      <c r="Z129" s="9">
        <v>923.34695228624275</v>
      </c>
      <c r="AA129" s="9">
        <v>620.98578028398651</v>
      </c>
      <c r="AB129" s="9">
        <v>2673.4788680026877</v>
      </c>
      <c r="AC129" s="9">
        <v>1993.7864403079384</v>
      </c>
      <c r="AD129" s="9">
        <v>390.7</v>
      </c>
      <c r="AE129" s="9">
        <v>6270.7632467963094</v>
      </c>
      <c r="AF129" s="9">
        <v>3994.0773698162739</v>
      </c>
      <c r="AG129" s="9">
        <v>24846.649474895072</v>
      </c>
      <c r="AH129" s="9">
        <v>1568.7151989491545</v>
      </c>
      <c r="AI129" s="9">
        <v>184.02391862070468</v>
      </c>
      <c r="AJ129" s="9">
        <v>2981.6139230464778</v>
      </c>
      <c r="AK129" s="9">
        <v>3.8911894093181845</v>
      </c>
      <c r="AL129" s="9">
        <v>57.299016271653322</v>
      </c>
      <c r="AM129" s="9">
        <v>25.614859430860292</v>
      </c>
      <c r="AN129" s="9">
        <v>1351.3273982740291</v>
      </c>
      <c r="AO129" s="9">
        <v>7664</v>
      </c>
      <c r="AP129" s="9">
        <v>1621.0328943292068</v>
      </c>
      <c r="AQ129" s="11">
        <v>9.6364172196823183</v>
      </c>
      <c r="AR129" s="9">
        <v>4732.7757861168911</v>
      </c>
      <c r="AS129" s="9">
        <v>157.78455049849461</v>
      </c>
      <c r="AT129" s="9">
        <v>2177.9570517059692</v>
      </c>
      <c r="AU129" s="9">
        <v>219.47033297871471</v>
      </c>
      <c r="AV129" s="9">
        <f t="shared" si="5"/>
        <v>152191.54465228834</v>
      </c>
    </row>
    <row r="130" spans="1:48" x14ac:dyDescent="0.3">
      <c r="A130" s="3">
        <f t="shared" si="4"/>
        <v>1926</v>
      </c>
      <c r="B130" s="9">
        <v>6066.38</v>
      </c>
      <c r="C130" s="9">
        <v>3119.614730378702</v>
      </c>
      <c r="D130" s="9">
        <v>343.69346187122665</v>
      </c>
      <c r="E130" s="9">
        <v>245.33639678948165</v>
      </c>
      <c r="F130" s="9">
        <v>8715.7862145509625</v>
      </c>
      <c r="G130" s="9">
        <v>7839.9813923683114</v>
      </c>
      <c r="H130" s="9">
        <v>146.53465346534654</v>
      </c>
      <c r="I130" s="9">
        <v>3056.3230196162249</v>
      </c>
      <c r="J130" s="9">
        <v>105.88392176756935</v>
      </c>
      <c r="K130" s="9">
        <v>110.29205076014988</v>
      </c>
      <c r="L130" s="9">
        <v>14017.359526235148</v>
      </c>
      <c r="M130" s="9">
        <v>162.19009715290863</v>
      </c>
      <c r="N130" s="9">
        <v>623.06729941913466</v>
      </c>
      <c r="O130" s="9">
        <v>13511.247106227855</v>
      </c>
      <c r="P130" s="9">
        <v>3758.1647970522927</v>
      </c>
      <c r="Q130" s="9">
        <v>47.659870260992705</v>
      </c>
      <c r="R130" s="9">
        <v>15827.585451545801</v>
      </c>
      <c r="S130" s="9">
        <v>210.39879629787112</v>
      </c>
      <c r="T130" s="9">
        <v>5230.3069531606861</v>
      </c>
      <c r="U130" s="9">
        <v>305.0436553994345</v>
      </c>
      <c r="V130" s="9">
        <v>951.65232509678754</v>
      </c>
      <c r="W130" s="9">
        <v>3484.9694525387595</v>
      </c>
      <c r="X130" s="9">
        <v>372.88895478529645</v>
      </c>
      <c r="Y130" s="9">
        <v>711.96843768690826</v>
      </c>
      <c r="Z130" s="9">
        <v>932.58042180910559</v>
      </c>
      <c r="AA130" s="9">
        <v>630.30056698824603</v>
      </c>
      <c r="AB130" s="9">
        <v>2713.581051022727</v>
      </c>
      <c r="AC130" s="9">
        <v>2023.6932369125568</v>
      </c>
      <c r="AD130" s="9">
        <v>395.95</v>
      </c>
      <c r="AE130" s="9">
        <v>6346.0124057578651</v>
      </c>
      <c r="AF130" s="9">
        <v>4053.9885303635174</v>
      </c>
      <c r="AG130" s="9">
        <v>25242.722722297141</v>
      </c>
      <c r="AH130" s="9">
        <v>1592.2459269333915</v>
      </c>
      <c r="AI130" s="9">
        <v>187</v>
      </c>
      <c r="AJ130" s="9">
        <v>3026.3381318921738</v>
      </c>
      <c r="AK130" s="9">
        <v>3.9405108987777893</v>
      </c>
      <c r="AL130" s="9">
        <v>57.628451577149903</v>
      </c>
      <c r="AM130" s="9">
        <v>25.901412596517517</v>
      </c>
      <c r="AN130" s="9">
        <v>1371.5973092481395</v>
      </c>
      <c r="AO130" s="9">
        <v>7841</v>
      </c>
      <c r="AP130" s="9">
        <v>1655.1016238496989</v>
      </c>
      <c r="AQ130" s="11">
        <v>9.7431704349626536</v>
      </c>
      <c r="AR130" s="9">
        <v>4770.6379924058265</v>
      </c>
      <c r="AS130" s="9">
        <v>161.10065789659276</v>
      </c>
      <c r="AT130" s="9">
        <v>2200</v>
      </c>
      <c r="AU130" s="9">
        <v>221.96878828473689</v>
      </c>
      <c r="AV130" s="9">
        <f t="shared" si="5"/>
        <v>154427.36147559702</v>
      </c>
    </row>
    <row r="131" spans="1:48" x14ac:dyDescent="0.3">
      <c r="A131" s="3">
        <f t="shared" si="4"/>
        <v>1927</v>
      </c>
      <c r="B131" s="9">
        <v>6140.9845999999998</v>
      </c>
      <c r="C131" s="9">
        <v>3166.4089513343815</v>
      </c>
      <c r="D131" s="9">
        <v>350.91675735857547</v>
      </c>
      <c r="E131" s="9">
        <v>250.49255331967439</v>
      </c>
      <c r="F131" s="9">
        <v>8830.991871946213</v>
      </c>
      <c r="G131" s="9">
        <v>7973.2610760385724</v>
      </c>
      <c r="H131" s="9">
        <v>148</v>
      </c>
      <c r="I131" s="9">
        <v>3096.9440208027313</v>
      </c>
      <c r="J131" s="9">
        <v>108.99586076088363</v>
      </c>
      <c r="K131" s="9">
        <v>111.39497126775137</v>
      </c>
      <c r="L131" s="9">
        <v>14178</v>
      </c>
      <c r="M131" s="9">
        <v>164.29856841589648</v>
      </c>
      <c r="N131" s="9">
        <v>629.29797241332608</v>
      </c>
      <c r="O131" s="9">
        <v>13646.359577290137</v>
      </c>
      <c r="P131" s="9">
        <v>3808.1558017232041</v>
      </c>
      <c r="Q131" s="9">
        <v>48.136468963602631</v>
      </c>
      <c r="R131" s="9">
        <v>16057.917336959074</v>
      </c>
      <c r="S131" s="9">
        <v>213.55477824233918</v>
      </c>
      <c r="T131" s="9">
        <v>5308.761557458095</v>
      </c>
      <c r="U131" s="9">
        <v>311.4546602742281</v>
      </c>
      <c r="V131" s="9">
        <v>965.92710997323934</v>
      </c>
      <c r="W131" s="9">
        <v>3537.24399432684</v>
      </c>
      <c r="X131" s="9">
        <v>378.48228910707587</v>
      </c>
      <c r="Y131" s="9">
        <v>699.99114974000952</v>
      </c>
      <c r="Z131" s="9">
        <v>941.90622602719657</v>
      </c>
      <c r="AA131" s="9">
        <v>639.75507549306963</v>
      </c>
      <c r="AB131" s="9">
        <v>2754.2847667880678</v>
      </c>
      <c r="AC131" s="9">
        <v>2054.0486354662448</v>
      </c>
      <c r="AD131" s="9">
        <v>399.95</v>
      </c>
      <c r="AE131" s="9">
        <v>6422.1645546269592</v>
      </c>
      <c r="AF131" s="9">
        <v>4114.7983583189698</v>
      </c>
      <c r="AG131" s="9">
        <v>25645.109658692414</v>
      </c>
      <c r="AH131" s="9">
        <v>1616.1296158373921</v>
      </c>
      <c r="AI131" s="9">
        <v>189.13772467761407</v>
      </c>
      <c r="AJ131" s="9">
        <v>3071.7332038705558</v>
      </c>
      <c r="AK131" s="9">
        <v>3.9904575465287611</v>
      </c>
      <c r="AL131" s="9">
        <v>57.959780939954435</v>
      </c>
      <c r="AM131" s="9">
        <v>26.191171429454307</v>
      </c>
      <c r="AN131" s="9">
        <v>1392.1712688868613</v>
      </c>
      <c r="AO131" s="9">
        <v>8014</v>
      </c>
      <c r="AP131" s="9">
        <v>1689.8863649546568</v>
      </c>
      <c r="AQ131" s="11">
        <v>9.8511062732773507</v>
      </c>
      <c r="AR131" s="9">
        <v>4808.8030963450719</v>
      </c>
      <c r="AS131" s="9">
        <v>164.48645886254016</v>
      </c>
      <c r="AT131" s="9">
        <v>2229.0215058283911</v>
      </c>
      <c r="AU131" s="9">
        <v>224.49568606328586</v>
      </c>
      <c r="AV131" s="9">
        <f t="shared" si="5"/>
        <v>156595.84664464433</v>
      </c>
    </row>
    <row r="132" spans="1:48" x14ac:dyDescent="0.3">
      <c r="A132" s="3">
        <f t="shared" si="4"/>
        <v>1928</v>
      </c>
      <c r="B132" s="9">
        <v>6182.5151999999998</v>
      </c>
      <c r="C132" s="9">
        <v>3213.9050856043964</v>
      </c>
      <c r="D132" s="9">
        <v>358.29186253533021</v>
      </c>
      <c r="E132" s="9">
        <v>255.75707514140868</v>
      </c>
      <c r="F132" s="9">
        <v>8947.7203229448351</v>
      </c>
      <c r="G132" s="9">
        <v>8108.8065143312306</v>
      </c>
      <c r="H132" s="9">
        <v>150</v>
      </c>
      <c r="I132" s="9">
        <v>3138.1049079001195</v>
      </c>
      <c r="J132" s="9">
        <v>112.20156175405566</v>
      </c>
      <c r="K132" s="9">
        <v>112.50892098042888</v>
      </c>
      <c r="L132" s="9">
        <v>14342.3904010599</v>
      </c>
      <c r="M132" s="9">
        <v>166.43444980530316</v>
      </c>
      <c r="N132" s="9">
        <v>635.59095213745945</v>
      </c>
      <c r="O132" s="9">
        <v>13782.823173063038</v>
      </c>
      <c r="P132" s="9">
        <v>3858.8137123894758</v>
      </c>
      <c r="Q132" s="9">
        <v>48.617833653238655</v>
      </c>
      <c r="R132" s="9">
        <v>16291.623417560622</v>
      </c>
      <c r="S132" s="9">
        <v>216.75809991597424</v>
      </c>
      <c r="T132" s="9">
        <v>5388.3929808199646</v>
      </c>
      <c r="U132" s="9">
        <v>318.00040318660126</v>
      </c>
      <c r="V132" s="9">
        <v>980.41601662283779</v>
      </c>
      <c r="W132" s="9">
        <v>3590.3026542417415</v>
      </c>
      <c r="X132" s="9">
        <v>384.15952344368196</v>
      </c>
      <c r="Y132" s="9">
        <v>688.215353065714</v>
      </c>
      <c r="Z132" s="9">
        <v>951.32528828746888</v>
      </c>
      <c r="AA132" s="9">
        <v>649.35140162546531</v>
      </c>
      <c r="AB132" s="9">
        <v>2795.5990382898885</v>
      </c>
      <c r="AC132" s="9">
        <v>2084.8593649982377</v>
      </c>
      <c r="AD132" s="9">
        <v>403.25</v>
      </c>
      <c r="AE132" s="9">
        <v>6499.2305292824831</v>
      </c>
      <c r="AF132" s="9">
        <v>4176.5203336937539</v>
      </c>
      <c r="AG132" s="9">
        <v>26053.91092876963</v>
      </c>
      <c r="AH132" s="9">
        <v>1640.3715600749529</v>
      </c>
      <c r="AI132" s="9">
        <v>191.29988714558792</v>
      </c>
      <c r="AJ132" s="9">
        <v>3117.8092019286137</v>
      </c>
      <c r="AK132" s="9">
        <v>4.0410372765590719</v>
      </c>
      <c r="AL132" s="9">
        <v>58.293015249771287</v>
      </c>
      <c r="AM132" s="9">
        <v>26.484171791437131</v>
      </c>
      <c r="AN132" s="9">
        <v>1413.0538379201639</v>
      </c>
      <c r="AO132" s="9">
        <v>8190</v>
      </c>
      <c r="AP132" s="9">
        <v>1725.4021658303889</v>
      </c>
      <c r="AQ132" s="11">
        <v>9.9602378358452981</v>
      </c>
      <c r="AR132" s="9">
        <v>4847.2735211158324</v>
      </c>
      <c r="AS132" s="9">
        <v>167.94341812374643</v>
      </c>
      <c r="AT132" s="9">
        <v>2258.4258515661218</v>
      </c>
      <c r="AU132" s="9">
        <v>227.05135010412141</v>
      </c>
      <c r="AV132" s="9">
        <f t="shared" ref="AV132:AV142" si="6">SUM(B132:AU132)</f>
        <v>158763.80656306742</v>
      </c>
    </row>
    <row r="133" spans="1:48" x14ac:dyDescent="0.3">
      <c r="A133" s="3">
        <f t="shared" si="4"/>
        <v>1929</v>
      </c>
      <c r="B133" s="9">
        <v>6241.0457999999999</v>
      </c>
      <c r="C133" s="9">
        <v>3262.1136618884607</v>
      </c>
      <c r="D133" s="9">
        <v>365.82196793714593</v>
      </c>
      <c r="E133" s="9">
        <v>261.13223973333407</v>
      </c>
      <c r="F133" s="9">
        <v>9065.9916959017301</v>
      </c>
      <c r="G133" s="9">
        <v>8246.6562250748611</v>
      </c>
      <c r="H133" s="9">
        <v>154</v>
      </c>
      <c r="I133" s="9">
        <v>3179.8128564281519</v>
      </c>
      <c r="J133" s="9">
        <v>115.50391958178804</v>
      </c>
      <c r="K133" s="9">
        <v>113.63401019023317</v>
      </c>
      <c r="L133" s="9">
        <v>14508.686868134799</v>
      </c>
      <c r="M133" s="9">
        <v>168.59809765277211</v>
      </c>
      <c r="N133" s="9">
        <v>641.946861658834</v>
      </c>
      <c r="O133" s="9">
        <v>13920.651404793669</v>
      </c>
      <c r="P133" s="9">
        <v>3910.1474541730677</v>
      </c>
      <c r="Q133" s="9">
        <v>49.104011989771017</v>
      </c>
      <c r="R133" s="9">
        <v>16528.753463254594</v>
      </c>
      <c r="S133" s="9">
        <v>220.00947141471383</v>
      </c>
      <c r="T133" s="9">
        <v>5469.2188755322622</v>
      </c>
      <c r="U133" s="9">
        <v>324.68371588276631</v>
      </c>
      <c r="V133" s="9">
        <v>995.12225687218029</v>
      </c>
      <c r="W133" s="9">
        <v>3644.1571940553658</v>
      </c>
      <c r="X133" s="9">
        <v>389.92191629533716</v>
      </c>
      <c r="Y133" s="9">
        <v>676.63765802079752</v>
      </c>
      <c r="Z133" s="9">
        <v>960.83854117034377</v>
      </c>
      <c r="AA133" s="9">
        <v>659.09167264984706</v>
      </c>
      <c r="AB133" s="9">
        <v>2837.5330238642368</v>
      </c>
      <c r="AC133" s="9">
        <v>2116.1322554732105</v>
      </c>
      <c r="AD133" s="9">
        <v>405.15</v>
      </c>
      <c r="AE133" s="9">
        <v>6577.2212956338726</v>
      </c>
      <c r="AF133" s="9">
        <v>4239.1681386991604</v>
      </c>
      <c r="AG133" s="9">
        <v>26469.228781565384</v>
      </c>
      <c r="AH133" s="9">
        <v>1664.9771334760769</v>
      </c>
      <c r="AI133" s="9">
        <v>193.4867667689885</v>
      </c>
      <c r="AJ133" s="9">
        <v>3164.5763399575417</v>
      </c>
      <c r="AK133" s="9">
        <v>4.0922581132945943</v>
      </c>
      <c r="AL133" s="9">
        <v>58.628165458914154</v>
      </c>
      <c r="AM133" s="9">
        <v>26.780449945417661</v>
      </c>
      <c r="AN133" s="9">
        <v>1434.2496454889663</v>
      </c>
      <c r="AO133" s="9">
        <v>8364</v>
      </c>
      <c r="AP133" s="9">
        <v>1761.6643909261174</v>
      </c>
      <c r="AQ133" s="11">
        <v>10.070578369022044</v>
      </c>
      <c r="AR133" s="9">
        <v>4886.0517092847585</v>
      </c>
      <c r="AS133" s="9">
        <v>171.47303119132852</v>
      </c>
      <c r="AT133" s="9">
        <v>2288.218087481674</v>
      </c>
      <c r="AU133" s="9">
        <v>229.63610788303342</v>
      </c>
      <c r="AV133" s="9">
        <f t="shared" si="6"/>
        <v>160975.61999986783</v>
      </c>
    </row>
    <row r="134" spans="1:48" x14ac:dyDescent="0.3">
      <c r="A134" s="3">
        <f t="shared" ref="A134:A142" si="7">+A133+1</f>
        <v>1930</v>
      </c>
      <c r="B134" s="9">
        <v>6317.8924000000006</v>
      </c>
      <c r="C134" s="9">
        <v>3311.0453668167856</v>
      </c>
      <c r="D134" s="9">
        <v>373.5103311541435</v>
      </c>
      <c r="E134" s="9">
        <v>266.62037243913954</v>
      </c>
      <c r="F134" s="9">
        <v>9185.8263852293039</v>
      </c>
      <c r="G134" s="9">
        <v>8386.8493809011325</v>
      </c>
      <c r="H134" s="9">
        <v>146</v>
      </c>
      <c r="I134" s="9">
        <v>3222.0751372750428</v>
      </c>
      <c r="J134" s="9">
        <v>119.42599999999999</v>
      </c>
      <c r="K134" s="9">
        <v>114.7703502921355</v>
      </c>
      <c r="L134" s="9">
        <v>14676.911501588402</v>
      </c>
      <c r="M134" s="9">
        <v>170.78987292225813</v>
      </c>
      <c r="N134" s="9">
        <v>648.36633027542302</v>
      </c>
      <c r="O134" s="9">
        <v>14059.857918841593</v>
      </c>
      <c r="P134" s="9">
        <v>3962.1660720526879</v>
      </c>
      <c r="Q134" s="9">
        <v>49.595052109668714</v>
      </c>
      <c r="R134" s="9">
        <v>16769.357983271235</v>
      </c>
      <c r="S134" s="9">
        <v>223.30961348593436</v>
      </c>
      <c r="T134" s="9">
        <v>5551.2571586652439</v>
      </c>
      <c r="U134" s="9">
        <v>331.50748962283888</v>
      </c>
      <c r="V134" s="9">
        <v>1010.0490907252638</v>
      </c>
      <c r="W134" s="9">
        <v>3698.8195519661954</v>
      </c>
      <c r="X134" s="9">
        <v>395.77074503976689</v>
      </c>
      <c r="Y134" s="9">
        <v>665.25473198525572</v>
      </c>
      <c r="Z134" s="9">
        <v>970.44692658204747</v>
      </c>
      <c r="AA134" s="9">
        <v>668.97804773959444</v>
      </c>
      <c r="AB134" s="9">
        <v>2880.0960192221978</v>
      </c>
      <c r="AC134" s="9">
        <v>2147.8742393053076</v>
      </c>
      <c r="AD134" s="9">
        <v>405</v>
      </c>
      <c r="AE134" s="9">
        <v>6656.1479511814796</v>
      </c>
      <c r="AF134" s="9">
        <v>4302.7556607796441</v>
      </c>
      <c r="AG134" s="9">
        <v>26891.167096038564</v>
      </c>
      <c r="AH134" s="9">
        <v>1689.9517904782197</v>
      </c>
      <c r="AI134" s="9">
        <v>195.69864610649557</v>
      </c>
      <c r="AJ134" s="9">
        <v>3212.0449850569057</v>
      </c>
      <c r="AK134" s="9">
        <v>4.1441281828721657</v>
      </c>
      <c r="AL134" s="9">
        <v>58.965242582666043</v>
      </c>
      <c r="AM134" s="9">
        <v>27.080042560020836</v>
      </c>
      <c r="AN134" s="9">
        <v>1455.7633901713023</v>
      </c>
      <c r="AO134" s="9">
        <v>8540</v>
      </c>
      <c r="AP134" s="9">
        <v>1798.6887276007776</v>
      </c>
      <c r="AQ134" s="11">
        <v>10.18214126590761</v>
      </c>
      <c r="AR134" s="9">
        <v>4925.1401229590329</v>
      </c>
      <c r="AS134" s="9">
        <v>175.07682500708177</v>
      </c>
      <c r="AT134" s="9">
        <v>2318.4033304646191</v>
      </c>
      <c r="AU134" s="9">
        <v>232.25029060380368</v>
      </c>
      <c r="AV134" s="9">
        <f t="shared" si="6"/>
        <v>163222.88444054808</v>
      </c>
    </row>
    <row r="135" spans="1:48" x14ac:dyDescent="0.3">
      <c r="A135" s="3">
        <f t="shared" si="7"/>
        <v>1931</v>
      </c>
      <c r="B135" s="9">
        <v>6553.451</v>
      </c>
      <c r="C135" s="9">
        <v>3357.4000019522214</v>
      </c>
      <c r="D135" s="9">
        <v>381.04947678422161</v>
      </c>
      <c r="E135" s="9">
        <v>272.00199015652146</v>
      </c>
      <c r="F135" s="9">
        <v>9298.0947152045464</v>
      </c>
      <c r="G135" s="9">
        <v>8504.265272233748</v>
      </c>
      <c r="H135" s="9">
        <v>149</v>
      </c>
      <c r="I135" s="9">
        <v>3263.591303033199</v>
      </c>
      <c r="J135" s="9">
        <v>120.84641737902746</v>
      </c>
      <c r="K135" s="9">
        <v>115.91805379505686</v>
      </c>
      <c r="L135" s="9">
        <v>14847.086658032667</v>
      </c>
      <c r="M135" s="9">
        <v>172.8393513973252</v>
      </c>
      <c r="N135" s="9">
        <v>653.55326091762652</v>
      </c>
      <c r="O135" s="9">
        <v>14172.336782192329</v>
      </c>
      <c r="P135" s="9">
        <v>4010.9165664073157</v>
      </c>
      <c r="Q135" s="9">
        <v>49.991812526546077</v>
      </c>
      <c r="R135" s="9">
        <v>16992.331579475416</v>
      </c>
      <c r="S135" s="9">
        <v>226.43594807473744</v>
      </c>
      <c r="T135" s="9">
        <v>5628.9747588865566</v>
      </c>
      <c r="U135" s="9">
        <v>338.19882593475671</v>
      </c>
      <c r="V135" s="9">
        <v>1024.1897779954177</v>
      </c>
      <c r="W135" s="9">
        <v>3750.6030256937224</v>
      </c>
      <c r="X135" s="9">
        <v>401.31153547032363</v>
      </c>
      <c r="Y135" s="9">
        <v>655</v>
      </c>
      <c r="Z135" s="9">
        <v>978.21050199470392</v>
      </c>
      <c r="AA135" s="9">
        <v>678.34374040794887</v>
      </c>
      <c r="AB135" s="9">
        <v>2920.4173634913091</v>
      </c>
      <c r="AC135" s="9">
        <v>2177.9444786555823</v>
      </c>
      <c r="AD135" s="9">
        <v>399.95</v>
      </c>
      <c r="AE135" s="9">
        <v>6736.0217265956571</v>
      </c>
      <c r="AF135" s="9">
        <v>4362.994240030559</v>
      </c>
      <c r="AG135" s="9">
        <v>27293.04585924431</v>
      </c>
      <c r="AH135" s="9">
        <v>1713.611115544915</v>
      </c>
      <c r="AI135" s="9">
        <v>198</v>
      </c>
      <c r="AJ135" s="9">
        <v>3257.0136148477022</v>
      </c>
      <c r="AK135" s="9">
        <v>4.2</v>
      </c>
      <c r="AL135" s="9">
        <v>59.304257699641283</v>
      </c>
      <c r="AM135" s="9">
        <v>27.4</v>
      </c>
      <c r="AN135" s="9">
        <v>1476.1440776337006</v>
      </c>
      <c r="AO135" s="9">
        <v>8717</v>
      </c>
      <c r="AP135" s="9">
        <v>1834.9944871192893</v>
      </c>
      <c r="AQ135" s="11">
        <v>10.362226631320437</v>
      </c>
      <c r="AR135" s="9">
        <v>4964.5412439427055</v>
      </c>
      <c r="AS135" s="9">
        <v>178.6106755329869</v>
      </c>
      <c r="AT135" s="9">
        <v>2350</v>
      </c>
      <c r="AU135" s="9">
        <v>235</v>
      </c>
      <c r="AV135" s="9">
        <f t="shared" si="6"/>
        <v>165512.49772291561</v>
      </c>
    </row>
    <row r="136" spans="1:48" x14ac:dyDescent="0.3">
      <c r="A136" s="3">
        <f t="shared" si="7"/>
        <v>1932</v>
      </c>
      <c r="B136" s="9">
        <v>6658.3289999999997</v>
      </c>
      <c r="C136" s="9">
        <v>3404.4036019795521</v>
      </c>
      <c r="D136" s="9">
        <v>388.74079683115161</v>
      </c>
      <c r="E136" s="9">
        <v>277.49223351638932</v>
      </c>
      <c r="F136" s="9">
        <v>9411.7351784410585</v>
      </c>
      <c r="G136" s="9">
        <v>8623.3249860450196</v>
      </c>
      <c r="H136" s="9">
        <v>151</v>
      </c>
      <c r="I136" s="9">
        <v>3305.6424010774836</v>
      </c>
      <c r="J136" s="9">
        <v>122.30395481807693</v>
      </c>
      <c r="K136" s="9">
        <v>117.07723433300744</v>
      </c>
      <c r="L136" s="9">
        <v>15019.234953298932</v>
      </c>
      <c r="M136" s="9">
        <v>174.91342361409306</v>
      </c>
      <c r="N136" s="9">
        <v>658.78168700496769</v>
      </c>
      <c r="O136" s="9">
        <v>14285.715476449874</v>
      </c>
      <c r="P136" s="9">
        <v>4060.26892971506</v>
      </c>
      <c r="Q136" s="9">
        <v>50.391747026758459</v>
      </c>
      <c r="R136" s="9">
        <v>17218.279820714873</v>
      </c>
      <c r="S136" s="9">
        <v>229.60605134778379</v>
      </c>
      <c r="T136" s="9">
        <v>5707.7804055109691</v>
      </c>
      <c r="U136" s="9">
        <v>345.02522399653168</v>
      </c>
      <c r="V136" s="9">
        <v>1038.5284348873536</v>
      </c>
      <c r="W136" s="9">
        <v>3803.1114680534347</v>
      </c>
      <c r="X136" s="9">
        <v>406.92989696690819</v>
      </c>
      <c r="Y136" s="9">
        <v>672.74237418725863</v>
      </c>
      <c r="Z136" s="9">
        <v>986.03618601066159</v>
      </c>
      <c r="AA136" s="9">
        <v>687.84055277366019</v>
      </c>
      <c r="AB136" s="9">
        <v>2961.3032065801872</v>
      </c>
      <c r="AC136" s="9">
        <v>2208.4357013567601</v>
      </c>
      <c r="AD136" s="9">
        <v>393.2</v>
      </c>
      <c r="AE136" s="9">
        <v>6816.8539873148047</v>
      </c>
      <c r="AF136" s="9">
        <v>4424.0761593909865</v>
      </c>
      <c r="AG136" s="9">
        <v>27700.930555169114</v>
      </c>
      <c r="AH136" s="9">
        <v>1737.6016711625439</v>
      </c>
      <c r="AI136" s="9">
        <v>200.1410619623029</v>
      </c>
      <c r="AJ136" s="9">
        <v>3302.6118054555704</v>
      </c>
      <c r="AK136" s="9">
        <v>4.2372999012162316</v>
      </c>
      <c r="AL136" s="9">
        <v>59.645221952149654</v>
      </c>
      <c r="AM136" s="9">
        <v>28.2</v>
      </c>
      <c r="AN136" s="9">
        <v>1496.8100947205726</v>
      </c>
      <c r="AO136" s="9">
        <v>8898</v>
      </c>
      <c r="AP136" s="9">
        <v>1872.0330628021491</v>
      </c>
      <c r="AQ136" s="11">
        <v>10.545497057516554</v>
      </c>
      <c r="AR136" s="9">
        <v>5004.2575738942496</v>
      </c>
      <c r="AS136" s="9">
        <v>182.21585531414291</v>
      </c>
      <c r="AT136" s="9">
        <v>2398.959108476919</v>
      </c>
      <c r="AU136" s="9">
        <v>240</v>
      </c>
      <c r="AV136" s="9">
        <f t="shared" si="6"/>
        <v>167745.2938811121</v>
      </c>
    </row>
    <row r="137" spans="1:48" x14ac:dyDescent="0.3">
      <c r="A137" s="3">
        <f t="shared" si="7"/>
        <v>1933</v>
      </c>
      <c r="B137" s="9">
        <v>6765.924</v>
      </c>
      <c r="C137" s="9">
        <v>3452.0652524072661</v>
      </c>
      <c r="D137" s="9">
        <v>396.58736287018615</v>
      </c>
      <c r="E137" s="9">
        <v>283.09329508068737</v>
      </c>
      <c r="F137" s="9">
        <v>9526.7645450260698</v>
      </c>
      <c r="G137" s="9">
        <v>8744.0515358496486</v>
      </c>
      <c r="H137" s="9">
        <v>153</v>
      </c>
      <c r="I137" s="9">
        <v>3348.2353239651811</v>
      </c>
      <c r="J137" s="9">
        <v>123.79961903809388</v>
      </c>
      <c r="K137" s="9">
        <v>118.24800667633751</v>
      </c>
      <c r="L137" s="9">
        <v>15193.3792654435</v>
      </c>
      <c r="M137" s="9">
        <v>177.01238469746215</v>
      </c>
      <c r="N137" s="9">
        <v>664.05194050100772</v>
      </c>
      <c r="O137" s="9">
        <v>14400.001200261475</v>
      </c>
      <c r="P137" s="9">
        <v>4110.2306204856486</v>
      </c>
      <c r="Q137" s="9">
        <v>50.794881002972545</v>
      </c>
      <c r="R137" s="9">
        <v>17447.24251778414</v>
      </c>
      <c r="S137" s="9">
        <v>232.82053606665281</v>
      </c>
      <c r="T137" s="9">
        <v>5787.689331188124</v>
      </c>
      <c r="U137" s="9">
        <v>351.98940997158223</v>
      </c>
      <c r="V137" s="9">
        <v>1053.0678329757766</v>
      </c>
      <c r="W137" s="9">
        <v>3856.3550286061827</v>
      </c>
      <c r="X137" s="9">
        <v>412.62691552444494</v>
      </c>
      <c r="Y137" s="9">
        <v>690.96534660627401</v>
      </c>
      <c r="Z137" s="9">
        <v>993.92447549874692</v>
      </c>
      <c r="AA137" s="9">
        <v>697.47032051249153</v>
      </c>
      <c r="AB137" s="9">
        <v>3002.76145147231</v>
      </c>
      <c r="AC137" s="9">
        <v>2239.3538011757555</v>
      </c>
      <c r="AD137" s="9">
        <v>389.7</v>
      </c>
      <c r="AE137" s="9">
        <v>6898.6562351625826</v>
      </c>
      <c r="AF137" s="9">
        <v>4486.0132256224615</v>
      </c>
      <c r="AG137" s="9">
        <v>28114.910940304555</v>
      </c>
      <c r="AH137" s="9">
        <v>1761.9280945588196</v>
      </c>
      <c r="AI137" s="9">
        <v>202.30527617877965</v>
      </c>
      <c r="AJ137" s="9">
        <v>3348.8483707319488</v>
      </c>
      <c r="AK137" s="9">
        <v>4.2749310602016868</v>
      </c>
      <c r="AL137" s="9">
        <v>60</v>
      </c>
      <c r="AM137" s="9">
        <v>28.7</v>
      </c>
      <c r="AN137" s="9">
        <v>1517.7654360466606</v>
      </c>
      <c r="AO137" s="9">
        <v>9074</v>
      </c>
      <c r="AP137" s="9">
        <v>1909.8192462289253</v>
      </c>
      <c r="AQ137" s="11">
        <v>10.732008876736883</v>
      </c>
      <c r="AR137" s="9">
        <v>5044.2916344854048</v>
      </c>
      <c r="AS137" s="9">
        <v>185.89380410093466</v>
      </c>
      <c r="AT137" s="9">
        <v>2448.9382145295208</v>
      </c>
      <c r="AU137" s="9">
        <v>242</v>
      </c>
      <c r="AV137" s="9">
        <f t="shared" si="6"/>
        <v>170002.28361857557</v>
      </c>
    </row>
    <row r="138" spans="1:48" x14ac:dyDescent="0.3">
      <c r="A138" s="3">
        <f t="shared" si="7"/>
        <v>1934</v>
      </c>
      <c r="B138" s="9">
        <v>6883.0230000000001</v>
      </c>
      <c r="C138" s="9">
        <v>3500.3941659409684</v>
      </c>
      <c r="D138" s="9">
        <v>404.5923084750055</v>
      </c>
      <c r="E138" s="9">
        <v>288.80741166728103</v>
      </c>
      <c r="F138" s="9">
        <v>9643.1997900092829</v>
      </c>
      <c r="G138" s="9">
        <v>8866.4682573515456</v>
      </c>
      <c r="H138" s="9">
        <v>157</v>
      </c>
      <c r="I138" s="9">
        <v>3391.3770530635938</v>
      </c>
      <c r="J138" s="9">
        <v>125.33444409320418</v>
      </c>
      <c r="K138" s="9">
        <v>119.43048674310089</v>
      </c>
      <c r="L138" s="9">
        <v>15369.542737788079</v>
      </c>
      <c r="M138" s="9">
        <v>179.13653331383165</v>
      </c>
      <c r="N138" s="9">
        <v>669.36435602501581</v>
      </c>
      <c r="O138" s="9">
        <v>14515.20120986357</v>
      </c>
      <c r="P138" s="9">
        <v>4160.8091900360814</v>
      </c>
      <c r="Q138" s="9">
        <v>51.201240050996326</v>
      </c>
      <c r="R138" s="9">
        <v>17679.260015902673</v>
      </c>
      <c r="S138" s="9">
        <v>236.08002357158594</v>
      </c>
      <c r="T138" s="9">
        <v>5868.7169818247576</v>
      </c>
      <c r="U138" s="9">
        <v>359.09416504976474</v>
      </c>
      <c r="V138" s="9">
        <v>1067.8107826374376</v>
      </c>
      <c r="W138" s="9">
        <v>3910.3439990066699</v>
      </c>
      <c r="X138" s="9">
        <v>418.40369234178723</v>
      </c>
      <c r="Y138" s="9">
        <v>709.68193550691115</v>
      </c>
      <c r="Z138" s="9">
        <v>1001.8758713027369</v>
      </c>
      <c r="AA138" s="9">
        <v>707.23490499966647</v>
      </c>
      <c r="AB138" s="9">
        <v>3044.8001117929225</v>
      </c>
      <c r="AC138" s="9">
        <v>2270.7047543922158</v>
      </c>
      <c r="AD138" s="9">
        <v>389.54999999999995</v>
      </c>
      <c r="AE138" s="9">
        <v>6981.4401099845336</v>
      </c>
      <c r="AF138" s="9">
        <v>4548.8174107811756</v>
      </c>
      <c r="AG138" s="9">
        <v>28535.078112520514</v>
      </c>
      <c r="AH138" s="9">
        <v>1786.5950878826434</v>
      </c>
      <c r="AI138" s="9">
        <v>204.49289300504009</v>
      </c>
      <c r="AJ138" s="9">
        <v>3395.7322479221966</v>
      </c>
      <c r="AK138" s="9">
        <v>4.3128964188330494</v>
      </c>
      <c r="AL138" s="9">
        <v>60</v>
      </c>
      <c r="AM138" s="9">
        <v>29.4</v>
      </c>
      <c r="AN138" s="9">
        <v>1539.014152151314</v>
      </c>
      <c r="AO138" s="9">
        <v>9254</v>
      </c>
      <c r="AP138" s="9">
        <v>1948.3681275408687</v>
      </c>
      <c r="AQ138" s="11">
        <v>10.921819417536589</v>
      </c>
      <c r="AR138" s="9">
        <v>5084.6459675612887</v>
      </c>
      <c r="AS138" s="9">
        <v>189.64599070449015</v>
      </c>
      <c r="AT138" s="9">
        <v>2499.9585684437434</v>
      </c>
      <c r="AU138" s="9">
        <v>242</v>
      </c>
      <c r="AV138" s="9">
        <f t="shared" si="6"/>
        <v>172302.86280708484</v>
      </c>
    </row>
    <row r="139" spans="1:48" x14ac:dyDescent="0.3">
      <c r="A139" s="3">
        <f t="shared" si="7"/>
        <v>1935</v>
      </c>
      <c r="B139" s="9">
        <v>6990.4719999999998</v>
      </c>
      <c r="C139" s="9">
        <v>3549.3996842641423</v>
      </c>
      <c r="D139" s="9">
        <v>412.75883046912867</v>
      </c>
      <c r="E139" s="9">
        <v>294.63686524324373</v>
      </c>
      <c r="F139" s="9">
        <v>9761.058095907898</v>
      </c>
      <c r="G139" s="9">
        <v>8990.5988129544658</v>
      </c>
      <c r="H139" s="9">
        <v>159</v>
      </c>
      <c r="I139" s="9">
        <v>3435.0746596943541</v>
      </c>
      <c r="J139" s="9">
        <v>126.90949211285312</v>
      </c>
      <c r="K139" s="9">
        <v>120.6247916105319</v>
      </c>
      <c r="L139" s="9">
        <v>15547.74878199546</v>
      </c>
      <c r="M139" s="9">
        <v>181.28617171359758</v>
      </c>
      <c r="N139" s="9">
        <v>674.71927087321626</v>
      </c>
      <c r="O139" s="9">
        <v>14631.322819542484</v>
      </c>
      <c r="P139" s="9">
        <v>4212.0122836505816</v>
      </c>
      <c r="Q139" s="9">
        <v>51.610849971404321</v>
      </c>
      <c r="R139" s="9">
        <v>17914.373201909817</v>
      </c>
      <c r="S139" s="9">
        <v>239.38514390158815</v>
      </c>
      <c r="T139" s="9">
        <v>5950.8790195703041</v>
      </c>
      <c r="U139" s="9">
        <v>366.3423265580584</v>
      </c>
      <c r="V139" s="9">
        <v>1082.7601335943618</v>
      </c>
      <c r="W139" s="9">
        <v>3965.0888149927637</v>
      </c>
      <c r="X139" s="9">
        <v>424.26134403457223</v>
      </c>
      <c r="Y139" s="9">
        <v>728.90551177210432</v>
      </c>
      <c r="Z139" s="9">
        <v>1009.8908782731588</v>
      </c>
      <c r="AA139" s="9">
        <v>717.13619366966179</v>
      </c>
      <c r="AB139" s="9">
        <v>3087.4273133580236</v>
      </c>
      <c r="AC139" s="9">
        <v>2302.494620953707</v>
      </c>
      <c r="AD139" s="9">
        <v>392.2</v>
      </c>
      <c r="AE139" s="9">
        <v>7065.217391304348</v>
      </c>
      <c r="AF139" s="9">
        <v>4612.5008545321134</v>
      </c>
      <c r="AG139" s="9">
        <v>28961.524531111561</v>
      </c>
      <c r="AH139" s="9">
        <v>1811.6074191130003</v>
      </c>
      <c r="AI139" s="9">
        <v>206.70416550390053</v>
      </c>
      <c r="AJ139" s="9">
        <v>3443.272499393107</v>
      </c>
      <c r="AK139" s="9">
        <v>4.3511989451135991</v>
      </c>
      <c r="AL139" s="9">
        <v>60.165293019512106</v>
      </c>
      <c r="AM139" s="9">
        <v>29.8</v>
      </c>
      <c r="AN139" s="9">
        <v>1560.5603502814324</v>
      </c>
      <c r="AO139" s="9">
        <v>9435</v>
      </c>
      <c r="AP139" s="9">
        <v>1987.6951014672497</v>
      </c>
      <c r="AQ139" s="11">
        <v>11.114987022406263</v>
      </c>
      <c r="AR139" s="9">
        <v>5125.3231353017818</v>
      </c>
      <c r="AS139" s="9">
        <v>193.47391358325922</v>
      </c>
      <c r="AT139" s="9">
        <v>2552.0418632268243</v>
      </c>
      <c r="AU139" s="9">
        <v>241</v>
      </c>
      <c r="AV139" s="9">
        <f t="shared" si="6"/>
        <v>174621.73061639711</v>
      </c>
    </row>
    <row r="140" spans="1:48" x14ac:dyDescent="0.3">
      <c r="A140" s="3">
        <f t="shared" si="7"/>
        <v>1936</v>
      </c>
      <c r="B140" s="9">
        <v>7234.6570000000002</v>
      </c>
      <c r="C140" s="9">
        <v>3599.0912798438399</v>
      </c>
      <c r="D140" s="9">
        <v>421.09019020258478</v>
      </c>
      <c r="E140" s="9">
        <v>300.58398383617447</v>
      </c>
      <c r="F140" s="9">
        <v>9880.3568552422839</v>
      </c>
      <c r="G140" s="9">
        <v>9116.4671963358269</v>
      </c>
      <c r="H140" s="9">
        <v>162</v>
      </c>
      <c r="I140" s="9">
        <v>3479.3353062924725</v>
      </c>
      <c r="J140" s="9">
        <v>128.52585406409469</v>
      </c>
      <c r="K140" s="9">
        <v>121.83103952663723</v>
      </c>
      <c r="L140" s="9">
        <v>15728.021081180876</v>
      </c>
      <c r="M140" s="9">
        <v>183.46160577416072</v>
      </c>
      <c r="N140" s="9">
        <v>680.11702504020207</v>
      </c>
      <c r="O140" s="9">
        <v>14748.373402098827</v>
      </c>
      <c r="P140" s="9">
        <v>4263.8476417551356</v>
      </c>
      <c r="Q140" s="9">
        <v>52.023736771175564</v>
      </c>
      <c r="R140" s="9">
        <v>18152.623511556823</v>
      </c>
      <c r="S140" s="9">
        <v>242.73653591621039</v>
      </c>
      <c r="T140" s="9">
        <v>6034.1913258442883</v>
      </c>
      <c r="U140" s="9">
        <v>373.73678909366902</v>
      </c>
      <c r="V140" s="9">
        <v>1097.9187754646828</v>
      </c>
      <c r="W140" s="9">
        <v>4020.6000584026619</v>
      </c>
      <c r="X140" s="9">
        <v>430.20100285105622</v>
      </c>
      <c r="Y140" s="9">
        <v>750</v>
      </c>
      <c r="Z140" s="9">
        <v>1017.9700052993443</v>
      </c>
      <c r="AA140" s="9">
        <v>727.17610038103714</v>
      </c>
      <c r="AB140" s="9">
        <v>3130.6512957450359</v>
      </c>
      <c r="AC140" s="9">
        <v>2334.7295456470592</v>
      </c>
      <c r="AD140" s="9">
        <v>395</v>
      </c>
      <c r="AE140" s="9">
        <v>7150</v>
      </c>
      <c r="AF140" s="9">
        <v>4677.0758664955629</v>
      </c>
      <c r="AG140" s="9">
        <v>29394.344037142986</v>
      </c>
      <c r="AH140" s="9">
        <v>1836.9699229805824</v>
      </c>
      <c r="AI140" s="9">
        <v>209</v>
      </c>
      <c r="AJ140" s="9">
        <v>3491.4783143846107</v>
      </c>
      <c r="AK140" s="9">
        <v>4.3898416334052435</v>
      </c>
      <c r="AL140" s="9">
        <v>60.331041402062539</v>
      </c>
      <c r="AM140" s="9">
        <v>30.5</v>
      </c>
      <c r="AN140" s="9">
        <v>1582.4081951853723</v>
      </c>
      <c r="AO140" s="9">
        <v>9618</v>
      </c>
      <c r="AP140" s="9">
        <v>2027.8158734733393</v>
      </c>
      <c r="AQ140" s="11">
        <v>11.311571065704795</v>
      </c>
      <c r="AR140" s="9">
        <v>5166.3257203841968</v>
      </c>
      <c r="AS140" s="9">
        <v>197.3791014414322</v>
      </c>
      <c r="AT140" s="9">
        <v>2608</v>
      </c>
      <c r="AU140" s="9">
        <v>240</v>
      </c>
      <c r="AV140" s="9">
        <f t="shared" si="6"/>
        <v>177112.64762975543</v>
      </c>
    </row>
    <row r="141" spans="1:48" x14ac:dyDescent="0.3">
      <c r="A141" s="3">
        <f t="shared" si="7"/>
        <v>1937</v>
      </c>
      <c r="B141" s="9">
        <v>7379.3501400000005</v>
      </c>
      <c r="C141" s="9">
        <v>3649.4785577616549</v>
      </c>
      <c r="D141" s="9">
        <v>429.58971485435251</v>
      </c>
      <c r="E141" s="9">
        <v>306.65114246390937</v>
      </c>
      <c r="F141" s="9">
        <v>10001.113673102584</v>
      </c>
      <c r="G141" s="9">
        <v>9244.0977370845285</v>
      </c>
      <c r="H141" s="9">
        <v>169</v>
      </c>
      <c r="I141" s="9">
        <v>3524.16624758033</v>
      </c>
      <c r="J141" s="9">
        <v>130.1846505345784</v>
      </c>
      <c r="K141" s="9">
        <v>123.0493499219036</v>
      </c>
      <c r="L141" s="9">
        <v>15921</v>
      </c>
      <c r="M141" s="9">
        <v>185.66314504345058</v>
      </c>
      <c r="N141" s="9">
        <v>685.55796124052392</v>
      </c>
      <c r="O141" s="9">
        <v>14866.360389315623</v>
      </c>
      <c r="P141" s="9">
        <v>4316.3231011067537</v>
      </c>
      <c r="Q141" s="9">
        <v>52.439926665344991</v>
      </c>
      <c r="R141" s="9">
        <v>18394.052936897413</v>
      </c>
      <c r="S141" s="9">
        <v>246.13484741903738</v>
      </c>
      <c r="T141" s="9">
        <v>6118.670004406109</v>
      </c>
      <c r="U141" s="9">
        <v>381.28050568000396</v>
      </c>
      <c r="V141" s="9">
        <v>1113.2896383211885</v>
      </c>
      <c r="W141" s="9">
        <v>4076.8884592203003</v>
      </c>
      <c r="X141" s="9">
        <v>436.22381689097114</v>
      </c>
      <c r="Y141" s="9">
        <v>772.5</v>
      </c>
      <c r="Z141" s="9">
        <v>1026.1137653417391</v>
      </c>
      <c r="AA141" s="9">
        <v>737.35656578637168</v>
      </c>
      <c r="AB141" s="9">
        <v>3174.4804138854674</v>
      </c>
      <c r="AC141" s="9">
        <v>2367.4157592861184</v>
      </c>
      <c r="AD141" s="9">
        <v>398.1</v>
      </c>
      <c r="AE141" s="9">
        <v>7235.8</v>
      </c>
      <c r="AF141" s="9">
        <v>4742.5549286265014</v>
      </c>
      <c r="AG141" s="9">
        <v>29833.631874100844</v>
      </c>
      <c r="AH141" s="9">
        <v>1862.6875019023109</v>
      </c>
      <c r="AI141" s="9">
        <v>213.18</v>
      </c>
      <c r="AJ141" s="9">
        <v>3540.3590107859959</v>
      </c>
      <c r="AK141" s="9">
        <v>4.4288275046626042</v>
      </c>
      <c r="AL141" s="9">
        <v>60.497246402123487</v>
      </c>
      <c r="AM141" s="9">
        <v>30.9</v>
      </c>
      <c r="AN141" s="9">
        <v>1604.561909917968</v>
      </c>
      <c r="AO141" s="9">
        <v>9802</v>
      </c>
      <c r="AP141" s="9">
        <v>2068.7464660324786</v>
      </c>
      <c r="AQ141" s="11">
        <v>11.511631971909388</v>
      </c>
      <c r="AR141" s="9">
        <v>5207.656326147272</v>
      </c>
      <c r="AS141" s="9">
        <v>201.36311383943675</v>
      </c>
      <c r="AT141" s="9">
        <v>2660.16</v>
      </c>
      <c r="AU141" s="9">
        <v>241</v>
      </c>
      <c r="AV141" s="9">
        <f t="shared" si="6"/>
        <v>179547.57128704173</v>
      </c>
    </row>
    <row r="142" spans="1:48" x14ac:dyDescent="0.3">
      <c r="A142" s="3">
        <f t="shared" si="7"/>
        <v>1938</v>
      </c>
      <c r="B142" s="9">
        <v>7526.9371428000004</v>
      </c>
      <c r="C142" s="9">
        <v>3700.5712575703178</v>
      </c>
      <c r="D142" s="9">
        <v>438.26079876108946</v>
      </c>
      <c r="E142" s="9">
        <v>312.84076408299956</v>
      </c>
      <c r="F142" s="9">
        <v>10123.346369746758</v>
      </c>
      <c r="G142" s="9">
        <v>9373.5151054037105</v>
      </c>
      <c r="H142" s="9">
        <v>170</v>
      </c>
      <c r="I142" s="9">
        <v>3569.5748317567936</v>
      </c>
      <c r="J142" s="9">
        <v>131.88703253679523</v>
      </c>
      <c r="K142" s="9">
        <v>124.27984342112264</v>
      </c>
      <c r="L142" s="9">
        <v>16105.6836</v>
      </c>
      <c r="M142" s="9">
        <v>187.89110278397197</v>
      </c>
      <c r="N142" s="9">
        <v>691.04242493044842</v>
      </c>
      <c r="O142" s="9">
        <v>14985.291272430151</v>
      </c>
      <c r="P142" s="9">
        <v>4369.4465959976978</v>
      </c>
      <c r="Q142" s="9">
        <v>52.859446078667766</v>
      </c>
      <c r="R142" s="9">
        <v>18638.704033778024</v>
      </c>
      <c r="S142" s="9">
        <v>249.58073528290396</v>
      </c>
      <c r="T142" s="9">
        <v>6204.3313844677959</v>
      </c>
      <c r="U142" s="9">
        <v>388.97648894597972</v>
      </c>
      <c r="V142" s="9">
        <v>1128.8756932576853</v>
      </c>
      <c r="W142" s="9">
        <v>4133.9648976493854</v>
      </c>
      <c r="X142" s="9">
        <v>442.33095032744478</v>
      </c>
      <c r="Y142" s="9">
        <v>795.67500000000007</v>
      </c>
      <c r="Z142" s="9">
        <v>1034.3226754644729</v>
      </c>
      <c r="AA142" s="9">
        <v>747.67955770738092</v>
      </c>
      <c r="AB142" s="9">
        <v>3218.9231396798641</v>
      </c>
      <c r="AC142" s="9">
        <v>2400.5595799161242</v>
      </c>
      <c r="AD142" s="9">
        <v>400.88669999999996</v>
      </c>
      <c r="AE142" s="9">
        <v>7322.6296000000002</v>
      </c>
      <c r="AF142" s="9">
        <v>4808.9506976272723</v>
      </c>
      <c r="AG142" s="9">
        <v>30279.484708850639</v>
      </c>
      <c r="AH142" s="9">
        <v>1888.7651269289433</v>
      </c>
      <c r="AI142" s="9">
        <v>217.4436</v>
      </c>
      <c r="AJ142" s="9">
        <v>3589.924036937</v>
      </c>
      <c r="AK142" s="9">
        <v>4.468159606669186</v>
      </c>
      <c r="AL142" s="9">
        <v>60.66390927762307</v>
      </c>
      <c r="AM142" s="9">
        <v>31.5</v>
      </c>
      <c r="AN142" s="9">
        <v>1627.0257766568197</v>
      </c>
      <c r="AO142" s="9">
        <v>9986</v>
      </c>
      <c r="AP142" s="9">
        <v>2110.5032250247527</v>
      </c>
      <c r="AQ142" s="11">
        <v>11.715231234188389</v>
      </c>
      <c r="AR142" s="9">
        <v>5249.3175767564517</v>
      </c>
      <c r="AS142" s="9">
        <v>205.42754181675821</v>
      </c>
      <c r="AT142" s="9">
        <v>2713.3631999999998</v>
      </c>
      <c r="AU142" s="9">
        <v>240</v>
      </c>
      <c r="AV142" s="9">
        <f t="shared" si="6"/>
        <v>181995.42081549467</v>
      </c>
    </row>
    <row r="143" spans="1:48" x14ac:dyDescent="0.3">
      <c r="B143" s="9"/>
      <c r="C143" s="9"/>
    </row>
    <row r="144" spans="1:48" x14ac:dyDescent="0.3">
      <c r="A144" s="8" t="s">
        <v>53</v>
      </c>
      <c r="B144" s="10">
        <v>1</v>
      </c>
      <c r="C144" s="10">
        <v>2</v>
      </c>
      <c r="D144" s="10">
        <v>3</v>
      </c>
      <c r="E144" s="10">
        <v>4</v>
      </c>
      <c r="F144" s="10">
        <v>5</v>
      </c>
      <c r="G144" s="10">
        <v>6</v>
      </c>
      <c r="H144" s="10">
        <v>7</v>
      </c>
      <c r="I144" s="10">
        <v>8</v>
      </c>
      <c r="J144" s="10">
        <v>9</v>
      </c>
      <c r="K144" s="10">
        <v>10</v>
      </c>
      <c r="L144" s="10">
        <v>11</v>
      </c>
      <c r="M144" s="10">
        <v>12</v>
      </c>
      <c r="N144" s="10">
        <v>13</v>
      </c>
      <c r="O144" s="10">
        <v>14</v>
      </c>
      <c r="P144" s="10">
        <v>15</v>
      </c>
      <c r="Q144" s="10">
        <v>16</v>
      </c>
      <c r="R144" s="10">
        <v>17</v>
      </c>
      <c r="S144" s="10">
        <v>18</v>
      </c>
      <c r="T144" s="10">
        <v>19</v>
      </c>
      <c r="U144" s="10">
        <v>20</v>
      </c>
      <c r="V144" s="10">
        <v>21</v>
      </c>
      <c r="W144" s="10">
        <v>22</v>
      </c>
      <c r="X144" s="10">
        <v>23</v>
      </c>
      <c r="Y144" s="10">
        <v>24</v>
      </c>
      <c r="Z144" s="10">
        <v>25</v>
      </c>
      <c r="AA144" s="10">
        <v>26</v>
      </c>
      <c r="AB144" s="10">
        <v>27</v>
      </c>
      <c r="AC144" s="10">
        <v>28</v>
      </c>
      <c r="AD144" s="10">
        <v>29</v>
      </c>
      <c r="AE144" s="10">
        <v>30</v>
      </c>
      <c r="AF144" s="10">
        <v>31</v>
      </c>
      <c r="AG144" s="10">
        <v>32</v>
      </c>
      <c r="AH144" s="10">
        <v>33</v>
      </c>
      <c r="AI144" s="10">
        <v>34</v>
      </c>
      <c r="AJ144" s="10">
        <v>35</v>
      </c>
      <c r="AK144" s="10">
        <v>36</v>
      </c>
      <c r="AL144" s="10">
        <v>37</v>
      </c>
      <c r="AM144" s="10">
        <v>38</v>
      </c>
      <c r="AN144" s="10">
        <v>39</v>
      </c>
      <c r="AO144" s="10">
        <v>40</v>
      </c>
      <c r="AP144" s="10">
        <v>41</v>
      </c>
      <c r="AQ144" s="10">
        <v>42</v>
      </c>
      <c r="AR144" s="10">
        <v>43</v>
      </c>
      <c r="AS144" s="10">
        <v>44</v>
      </c>
      <c r="AT144" s="10">
        <v>45</v>
      </c>
      <c r="AU144" s="10">
        <v>46</v>
      </c>
    </row>
    <row r="145" spans="2:3" x14ac:dyDescent="0.3">
      <c r="B145" s="9"/>
      <c r="C145" s="9"/>
    </row>
    <row r="146" spans="2:3" x14ac:dyDescent="0.3">
      <c r="B146" s="9"/>
      <c r="C146" s="9"/>
    </row>
    <row r="147" spans="2:3" x14ac:dyDescent="0.3">
      <c r="B147" s="9"/>
      <c r="C147" s="9"/>
    </row>
    <row r="148" spans="2:3" x14ac:dyDescent="0.3">
      <c r="B148" s="9"/>
      <c r="C148" s="9"/>
    </row>
    <row r="149" spans="2:3" x14ac:dyDescent="0.3">
      <c r="B149" s="9"/>
      <c r="C149" s="9"/>
    </row>
    <row r="150" spans="2:3" x14ac:dyDescent="0.3">
      <c r="B150" s="9"/>
      <c r="C150" s="9"/>
    </row>
    <row r="151" spans="2:3" x14ac:dyDescent="0.3">
      <c r="B151" s="9"/>
      <c r="C151" s="9"/>
    </row>
    <row r="152" spans="2:3" x14ac:dyDescent="0.3">
      <c r="B152" s="9"/>
      <c r="C152" s="9"/>
    </row>
    <row r="153" spans="2:3" x14ac:dyDescent="0.3">
      <c r="B153" s="9"/>
      <c r="C153" s="9"/>
    </row>
    <row r="154" spans="2:3" x14ac:dyDescent="0.3">
      <c r="B154" s="9"/>
      <c r="C154" s="9"/>
    </row>
    <row r="155" spans="2:3" x14ac:dyDescent="0.3">
      <c r="B155" s="9"/>
      <c r="C155" s="9"/>
    </row>
    <row r="156" spans="2:3" x14ac:dyDescent="0.3">
      <c r="B156" s="9"/>
      <c r="C156" s="9"/>
    </row>
    <row r="157" spans="2:3" x14ac:dyDescent="0.3">
      <c r="B157" s="9"/>
      <c r="C157" s="9"/>
    </row>
    <row r="158" spans="2:3" x14ac:dyDescent="0.3">
      <c r="B158" s="9"/>
      <c r="C158" s="9"/>
    </row>
    <row r="159" spans="2:3" x14ac:dyDescent="0.3">
      <c r="B159" s="9"/>
      <c r="C159" s="9"/>
    </row>
    <row r="160" spans="2:3" x14ac:dyDescent="0.3">
      <c r="B160" s="9"/>
      <c r="C160" s="9"/>
    </row>
    <row r="161" spans="2:3" x14ac:dyDescent="0.3">
      <c r="B161" s="9"/>
      <c r="C161" s="9"/>
    </row>
    <row r="162" spans="2:3" x14ac:dyDescent="0.3">
      <c r="B162" s="9"/>
      <c r="C162" s="9"/>
    </row>
    <row r="163" spans="2:3" x14ac:dyDescent="0.3">
      <c r="B163" s="9"/>
      <c r="C163" s="9"/>
    </row>
    <row r="164" spans="2:3" x14ac:dyDescent="0.3">
      <c r="B164" s="9"/>
      <c r="C164" s="9"/>
    </row>
    <row r="165" spans="2:3" x14ac:dyDescent="0.3">
      <c r="B165" s="9"/>
      <c r="C165" s="9"/>
    </row>
    <row r="166" spans="2:3" x14ac:dyDescent="0.3">
      <c r="B166" s="9"/>
      <c r="C166" s="9"/>
    </row>
    <row r="167" spans="2:3" x14ac:dyDescent="0.3">
      <c r="B167" s="9"/>
      <c r="C167" s="9"/>
    </row>
    <row r="168" spans="2:3" x14ac:dyDescent="0.3">
      <c r="B168" s="9"/>
      <c r="C168" s="9"/>
    </row>
    <row r="169" spans="2:3" x14ac:dyDescent="0.3">
      <c r="B169" s="9"/>
      <c r="C169" s="9"/>
    </row>
    <row r="170" spans="2:3" x14ac:dyDescent="0.3">
      <c r="B170" s="9"/>
      <c r="C170" s="9"/>
    </row>
    <row r="171" spans="2:3" x14ac:dyDescent="0.3">
      <c r="B171" s="9"/>
      <c r="C171" s="9"/>
    </row>
    <row r="172" spans="2:3" x14ac:dyDescent="0.3">
      <c r="B172" s="9"/>
      <c r="C172" s="9"/>
    </row>
    <row r="173" spans="2:3" x14ac:dyDescent="0.3">
      <c r="B173" s="9"/>
      <c r="C173" s="9"/>
    </row>
    <row r="174" spans="2:3" x14ac:dyDescent="0.3">
      <c r="B174" s="9"/>
      <c r="C174" s="9"/>
    </row>
    <row r="175" spans="2:3" x14ac:dyDescent="0.3">
      <c r="B175" s="9"/>
      <c r="C175" s="9"/>
    </row>
    <row r="176" spans="2:3" x14ac:dyDescent="0.3">
      <c r="B176" s="9"/>
      <c r="C176" s="9"/>
    </row>
    <row r="177" spans="2:3" x14ac:dyDescent="0.3">
      <c r="B177" s="9"/>
      <c r="C177" s="9"/>
    </row>
    <row r="178" spans="2:3" x14ac:dyDescent="0.3">
      <c r="B178" s="9"/>
      <c r="C178" s="9"/>
    </row>
    <row r="179" spans="2:3" x14ac:dyDescent="0.3">
      <c r="B179" s="9"/>
      <c r="C179" s="9"/>
    </row>
    <row r="180" spans="2:3" x14ac:dyDescent="0.3">
      <c r="B180" s="9"/>
      <c r="C180" s="9"/>
    </row>
    <row r="181" spans="2:3" x14ac:dyDescent="0.3">
      <c r="B181" s="9"/>
      <c r="C181" s="9"/>
    </row>
    <row r="182" spans="2:3" x14ac:dyDescent="0.3">
      <c r="B182" s="9"/>
      <c r="C182" s="9"/>
    </row>
    <row r="183" spans="2:3" x14ac:dyDescent="0.3">
      <c r="B183" s="9"/>
      <c r="C183" s="9"/>
    </row>
    <row r="184" spans="2:3" x14ac:dyDescent="0.3">
      <c r="B184" s="9"/>
      <c r="C184" s="9"/>
    </row>
    <row r="185" spans="2:3" x14ac:dyDescent="0.3">
      <c r="B185" s="9"/>
      <c r="C185" s="9"/>
    </row>
    <row r="186" spans="2:3" x14ac:dyDescent="0.3">
      <c r="B186" s="9"/>
      <c r="C186" s="9"/>
    </row>
    <row r="187" spans="2:3" x14ac:dyDescent="0.3">
      <c r="B187" s="9"/>
      <c r="C187" s="9"/>
    </row>
    <row r="188" spans="2:3" x14ac:dyDescent="0.3">
      <c r="B188" s="9"/>
      <c r="C188" s="9"/>
    </row>
    <row r="189" spans="2:3" x14ac:dyDescent="0.3">
      <c r="B189" s="9"/>
      <c r="C189" s="9"/>
    </row>
    <row r="190" spans="2:3" x14ac:dyDescent="0.3">
      <c r="B190" s="9"/>
      <c r="C190" s="9"/>
    </row>
    <row r="191" spans="2:3" x14ac:dyDescent="0.3">
      <c r="B191" s="9"/>
      <c r="C191" s="9"/>
    </row>
    <row r="192" spans="2:3" x14ac:dyDescent="0.3">
      <c r="B192" s="9"/>
      <c r="C192" s="9"/>
    </row>
    <row r="193" spans="2:3" x14ac:dyDescent="0.3">
      <c r="B193" s="9"/>
      <c r="C193" s="9"/>
    </row>
    <row r="194" spans="2:3" x14ac:dyDescent="0.3">
      <c r="B194" s="9"/>
      <c r="C194" s="9"/>
    </row>
    <row r="195" spans="2:3" x14ac:dyDescent="0.3">
      <c r="B195" s="9"/>
      <c r="C195" s="9"/>
    </row>
    <row r="196" spans="2:3" x14ac:dyDescent="0.3">
      <c r="B196" s="9"/>
      <c r="C196" s="9"/>
    </row>
    <row r="197" spans="2:3" x14ac:dyDescent="0.3">
      <c r="B197" s="9"/>
      <c r="C197" s="9"/>
    </row>
    <row r="198" spans="2:3" x14ac:dyDescent="0.3">
      <c r="B198" s="9"/>
      <c r="C198" s="9"/>
    </row>
    <row r="199" spans="2:3" x14ac:dyDescent="0.3">
      <c r="B199" s="9"/>
      <c r="C199" s="9"/>
    </row>
    <row r="200" spans="2:3" x14ac:dyDescent="0.3">
      <c r="B200" s="9"/>
      <c r="C200" s="9"/>
    </row>
    <row r="201" spans="2:3" x14ac:dyDescent="0.3">
      <c r="B201" s="9"/>
      <c r="C201" s="9"/>
    </row>
    <row r="202" spans="2:3" x14ac:dyDescent="0.3">
      <c r="B202" s="9"/>
      <c r="C202" s="9"/>
    </row>
    <row r="203" spans="2:3" x14ac:dyDescent="0.3">
      <c r="B203" s="9"/>
      <c r="C203" s="9"/>
    </row>
    <row r="204" spans="2:3" x14ac:dyDescent="0.3">
      <c r="B204" s="9"/>
      <c r="C204" s="9"/>
    </row>
    <row r="205" spans="2:3" x14ac:dyDescent="0.3">
      <c r="B205" s="9"/>
      <c r="C205" s="9"/>
    </row>
    <row r="206" spans="2:3" x14ac:dyDescent="0.3">
      <c r="B206" s="9"/>
      <c r="C206" s="9"/>
    </row>
    <row r="207" spans="2:3" x14ac:dyDescent="0.3">
      <c r="B207" s="9"/>
      <c r="C207" s="9"/>
    </row>
    <row r="208" spans="2:3" x14ac:dyDescent="0.3">
      <c r="B208" s="9"/>
      <c r="C208" s="9"/>
    </row>
    <row r="209" spans="2:3" x14ac:dyDescent="0.3">
      <c r="B209" s="9"/>
      <c r="C209" s="9"/>
    </row>
    <row r="210" spans="2:3" x14ac:dyDescent="0.3">
      <c r="B210" s="9"/>
      <c r="C210" s="9"/>
    </row>
    <row r="211" spans="2:3" x14ac:dyDescent="0.3">
      <c r="B211" s="9"/>
      <c r="C21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3D6C-3B90-41C4-81FB-2A019E29EC14}">
  <dimension ref="A1:A10"/>
  <sheetViews>
    <sheetView workbookViewId="0">
      <selection activeCell="A5" sqref="A5:A7"/>
    </sheetView>
  </sheetViews>
  <sheetFormatPr baseColWidth="10" defaultRowHeight="14.4" x14ac:dyDescent="0.3"/>
  <cols>
    <col min="1" max="1" width="78.33203125" customWidth="1"/>
  </cols>
  <sheetData>
    <row r="1" spans="1:1" ht="74.400000000000006" customHeight="1" x14ac:dyDescent="0.3">
      <c r="A1" s="7" t="s">
        <v>52</v>
      </c>
    </row>
    <row r="2" spans="1:1" ht="30.6" customHeight="1" x14ac:dyDescent="0.3"/>
    <row r="3" spans="1:1" ht="24.6" customHeight="1" x14ac:dyDescent="0.3">
      <c r="A3" s="12" t="s">
        <v>65</v>
      </c>
    </row>
    <row r="4" spans="1:1" ht="57" customHeight="1" x14ac:dyDescent="0.3">
      <c r="A4" s="12" t="s">
        <v>66</v>
      </c>
    </row>
    <row r="5" spans="1:1" ht="57" customHeight="1" x14ac:dyDescent="0.3">
      <c r="A5" s="17" t="s">
        <v>67</v>
      </c>
    </row>
    <row r="6" spans="1:1" ht="12.6" customHeight="1" x14ac:dyDescent="0.3">
      <c r="A6" s="13" t="s">
        <v>62</v>
      </c>
    </row>
    <row r="7" spans="1:1" x14ac:dyDescent="0.3">
      <c r="A7" s="14" t="s">
        <v>63</v>
      </c>
    </row>
    <row r="8" spans="1:1" x14ac:dyDescent="0.3">
      <c r="A8" s="14"/>
    </row>
    <row r="9" spans="1:1" x14ac:dyDescent="0.3">
      <c r="A9" s="15" t="s">
        <v>68</v>
      </c>
    </row>
    <row r="10" spans="1:1" ht="47.4" customHeight="1" x14ac:dyDescent="0.3">
      <c r="A10" s="16" t="s">
        <v>64</v>
      </c>
    </row>
  </sheetData>
  <hyperlinks>
    <hyperlink ref="A1" r:id="rId1" display="http://hdl.handle.net/10016/36431" xr:uid="{69725898-EEF1-49C8-A7A3-964AFDE907DB}"/>
    <hyperlink ref="A7" r:id="rId2" display="http://aehnetwork.org/wp-content/uploads/2016/02/ReconstructingAfricanPopulation.COMPLETE.pdf" xr:uid="{7274AE5E-8087-493C-9B8F-F68BDD9243E1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AFRICA26</vt:lpstr>
      <vt:lpstr>SOURCES</vt:lpstr>
    </vt:vector>
  </TitlesOfParts>
  <Company>Universidad Carlos III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</dc:creator>
  <cp:lastModifiedBy>Antonio Tena Junguito</cp:lastModifiedBy>
  <dcterms:created xsi:type="dcterms:W3CDTF">2023-01-23T11:36:32Z</dcterms:created>
  <dcterms:modified xsi:type="dcterms:W3CDTF">2025-11-11T15:51:46Z</dcterms:modified>
</cp:coreProperties>
</file>